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77" documentId="14_{99C30D5E-707F-4DBC-83FD-C0930369E172}" xr6:coauthVersionLast="47" xr6:coauthVersionMax="47" xr10:uidLastSave="{FB8A2593-1F92-4EF4-8253-7DFD72A9D4B7}"/>
  <bookViews>
    <workbookView xWindow="-120" yWindow="-120" windowWidth="20730" windowHeight="11040" tabRatio="890" activeTab="5" xr2:uid="{FD1134B4-C37A-482C-B875-A4A14024FB80}"/>
  </bookViews>
  <sheets>
    <sheet name="MENU" sheetId="1" r:id="rId1"/>
    <sheet name="CADASTROS" sheetId="10" r:id="rId2"/>
    <sheet name="ASSISTIDO" sheetId="17" r:id="rId3"/>
    <sheet name="ACOMPANHAMENTO" sheetId="14" state="hidden" r:id="rId4"/>
    <sheet name="TABELAS_AUXILIARES" sheetId="16" state="hidden" r:id="rId5"/>
    <sheet name="PARENTES" sheetId="5" r:id="rId6"/>
    <sheet name="DADOS_DE_TESTE" sheetId="12" state="hidden" r:id="rId7"/>
    <sheet name="FICHA_CADASTRAL" sheetId="11" r:id="rId8"/>
    <sheet name="GRAUS_PARENTESCO" sheetId="9" r:id="rId9"/>
    <sheet name="TIPO_MORADIA" sheetId="8" state="hidden" r:id="rId10"/>
    <sheet name="ESTADOS_CIVIS" sheetId="3" state="hidden" r:id="rId11"/>
    <sheet name="ESCOLARIDADES" sheetId="4" r:id="rId12"/>
    <sheet name="PROFISSOES" sheetId="6" state="hidden" r:id="rId13"/>
    <sheet name="PROGRAMAS_GOV" sheetId="7" state="hidden" r:id="rId14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F25" i="11" a="1"/>
  <c r="K41" i="11" a="1"/>
  <c r="K23" i="11" a="1"/>
  <c r="K35" i="11" a="1"/>
  <c r="BE35" i="11" a="1"/>
  <c r="K29" i="11" a="1"/>
  <c r="F31" i="11" a="1"/>
  <c r="BK25" i="11" a="1"/>
  <c r="BE32" i="11" a="1"/>
  <c r="K32" i="11" a="1"/>
  <c r="K26" i="11" a="1"/>
  <c r="F37" i="11" a="1"/>
  <c r="BK34" i="11" a="1"/>
  <c r="BK40" i="11" a="1"/>
  <c r="BE26" i="11" a="1"/>
  <c r="F34" i="11" a="1"/>
  <c r="F40" i="11" a="1"/>
  <c r="F22" i="11" a="1"/>
  <c r="BE38" i="11" a="1"/>
  <c r="K38" i="11" a="1"/>
  <c r="BK31" i="11" a="1"/>
  <c r="BK22" i="11" a="1"/>
  <c r="BE23" i="11" a="1"/>
  <c r="BE41" i="11" a="1"/>
  <c r="BK28" i="11" a="1"/>
  <c r="F28" i="11" a="1"/>
  <c r="BE29" i="11" a="1"/>
  <c r="BK37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<sst xmlns="http://schemas.openxmlformats.org/spreadsheetml/2006/main" count="696" uniqueCount="249">
  <si>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</si>
  <si>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</si>
  <si>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</si>
  <si>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</si>
  <si>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</si>
  <si>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</si>
  <si>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</si>
  <si>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</si>
  <si>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</si>
  <si>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</si>
  <si>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</si>
  <si>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</si>
  <si>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</si>
  <si>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</si>
  <si>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</si>
  <si>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</si>
  <si>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</si>
  <si>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</si>
  <si>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</si>
  <si>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</si>
  <si>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</si>
  <si>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</si>
  <si>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</si>
  <si>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</si>
  <si>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</si>
  <si>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</si>
  <si>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</si>
  <si>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</si>
  <si>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</si>
  <si>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</si>
  <si>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</si>
  <si>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</si>
  <si>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</si>
  <si>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</si>
  <si>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</si>
  <si>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</si>
  <si>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</si>
  <si>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</si>
  <si>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</si>
  <si>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</si>
  <si>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</si>
  <si>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</si>
  <si>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</si>
  <si>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</si>
  <si>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</si>
  <si>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</si>
  <si>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</si>
  <si>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</si>
  <si>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</si>
  <si>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</si>
  <si>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</si>
  <si>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</si>
  <si>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</si>
  <si>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</si>
  <si>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</si>
  <si>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</si>
  <si>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</si>
  <si>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</si>
  <si>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</si>
  <si>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</si>
  <si>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</si>
  <si>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</si>
  <si>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</si>
  <si>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</si>
  <si>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</si>
  <si>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</si>
  <si>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</si>
  <si>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</si>
  <si>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</si>
  <si>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</si>
  <si>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</si>
  <si>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</si>
  <si>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</si>
  <si>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</si>
  <si>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</si>
  <si>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</si>
  <si>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</si>
  <si>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</si>
  <si>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</si>
  <si>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</si>
  <si>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</si>
  <si>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</si>
  <si>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</si>
  <si>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</si>
  <si>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</si>
  <si>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</si>
  <si>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</si>
  <si>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</si>
  <si>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</si>
  <si>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</si>
  <si>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</si>
  <si>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</si>
  <si>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</si>
  <si>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</si>
  <si>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</si>
  <si>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</si>
  <si>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</si>
  <si>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</si>
  <si>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</si>
  <si>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</si>
  <si>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</si>
  <si>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</si>
  <si>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</si>
  <si>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</si>
  <si>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</si>
  <si>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</si>
  <si>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</si>
  <si>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</si>
  <si>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</si>
  <si>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</si>
  <si>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</si>
  <si>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</si>
  <si>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</si>
  <si>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</si>
  <si>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</si>
  <si>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</si>
  <si>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</si>
  <si>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</si>
  <si>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</si>
  <si>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</si>
  <si>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</si>
  <si>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</si>
  <si>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</si>
  <si>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</si>
  <si>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</si>
  <si>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</si>
  <si>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</si>
  <si>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</si>
  <si>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</si>
  <si>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</si>
  <si>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</si>
  <si>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</si>
  <si>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</si>
  <si>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</si>
  <si>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</si>
  <si>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</si>
  <si>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</si>
  <si>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</si>
  <si>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</si>
  <si>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</si>
  <si>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</si>
  <si>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</si>
  <si>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</si>
  <si>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</si>
  <si>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</si>
  <si>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</si>
  <si>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</si>
  <si>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</si>
  <si>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</si>
  <si>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</si>
  <si>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</si>
  <si>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</si>
  <si>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</si>
  <si>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</si>
  <si>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</si>
  <si>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</si>
  <si>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</si>
  <si>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</si>
  <si>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</si>
  <si>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</si>
  <si>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</si>
  <si>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</si>
  <si>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</si>
  <si>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</si>
  <si>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</si>
  <si>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</si>
  <si>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</si>
  <si>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</si>
  <si>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</si>
  <si>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</si>
  <si>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</si>
  <si>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</si>
  <si>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</si>
  <si>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</si>
  <si>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</si>
  <si>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</si>
  <si>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</si>
  <si>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</si>
  <si>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</si>
  <si>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</si>
  <si>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</si>
  <si>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</si>
  <si>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</si>
  <si>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</si>
  <si>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</si>
  <si>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</si>
  <si>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</si>
  <si>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</si>
  <si>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</si>
  <si>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</si>
  <si>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</si>
  <si>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</si>
  <si>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</si>
  <si>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</si>
  <si>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</si>
  <si>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</si>
  <si>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</si>
  <si>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</si>
  <si>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</si>
  <si>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</si>
  <si>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</si>
  <si>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</si>
  <si>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</si>
  <si>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</si>
  <si>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</si>
  <si>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</si>
  <si>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</si>
  <si>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</si>
  <si>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</si>
  <si>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</si>
  <si>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</si>
  <si>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</si>
  <si>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</si>
  <si>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</si>
  <si>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</si>
  <si>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</si>
  <si>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</si>
  <si>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</si>
  <si>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</si>
  <si>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</si>
  <si>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</si>
  <si>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</si>
  <si>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</si>
  <si>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</si>
  <si>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</si>
  <si>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</si>
  <si>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</si>
  <si>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</si>
  <si>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</si>
  <si>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</si>
  <si>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</si>
  <si>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</si>
  <si>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</si>
  <si>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</si>
  <si>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</si>
  <si>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</si>
  <si>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</si>
  <si>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</si>
  <si>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</si>
  <si>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</si>
  <si>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</si>
  <si>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</si>
  <si>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</si>
  <si>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</si>
  <si>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</si>
  <si>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</si>
  <si>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</si>
  <si>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</si>
  <si>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Solteiro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</si>
</sst>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0" fontId="4" fillId="3" borderId="4" xfId="0" applyFont="1" applyFill="1" applyBorder="1"/>
    <xf numFmtId="0" fontId="4" fillId="3" borderId="0" xfId="0" applyFont="1" applyFill="1" applyBorder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border outline="0">
        <top style="thin">
          <color theme="1"/>
        </top>
      </border>
    </dxf>
    <dxf>
      <numFmt numFmtId="19" formatCode="dd/mm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5"/>
    <tableColumn id="5" xr3:uid="{B8D43D59-ED48-4C7B-A7CB-4BC6F00276B6}" name="EscolaridadeAssistido" dataDxfId="5"/>
    <tableColumn id="3" xr3:uid="{BBD7AEEE-7467-498B-9833-818012324219}" name="EstadoCivilAssistido"/>
    <tableColumn id="4" xr3:uid="{6E83ECC9-743F-4E8A-9B3F-CF4242EBBED1}" name="Profissao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4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23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H3" totalsRowShown="0" headerRowDxfId="3" tableBorderDxfId="4">
  <autoFilter ref="A1:H3" xr:uid="{62AD8F14-0E48-4C00-BA1C-7419B5760F8F}"/>
  <tableColumns count="8">
    <tableColumn id="1" xr3:uid="{07F7DA2C-132C-43BD-B460-223FA39A547D}" name="KeyAssistido"/>
    <tableColumn id="8" xr3:uid="{DF3A2E35-122A-4721-A3E7-C827DCE5095B}" name="NomeAssistido"/>
    <tableColumn id="2" xr3:uid="{54C84201-E9B0-4564-9FFA-7DA6AA323E86}" name="DataNascimentoAssistido"/>
    <tableColumn id="3" xr3:uid="{A86A5D1A-D995-41F0-A8EB-E96D6E0EA4B9}" name="EscolaridadeAssistido"/>
    <tableColumn id="4" xr3:uid="{D675165B-A113-44FE-8DFB-9AC43903F7C4}" name="EstadoCivilAssistido"/>
    <tableColumn id="5" xr3:uid="{5F5E0CBD-289B-4A48-B68A-1858D34ABA6B}" name="ProfissaoAssistido"/>
    <tableColumn id="6" xr3:uid="{CB2E7D23-2597-40B2-8F9E-A2F456636BAD}" name="CPFAssistido"/>
    <tableColumn id="7" xr3:uid="{71FE4E14-8818-4130-89B9-1A975D9E7CA2}" name="TelefoneAssistido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2"/>
    <tableColumn id="8" xr3:uid="{3692651C-4D8A-4D18-820D-0CA629F413D1}" name="Jan" dataDxfId="21"/>
    <tableColumn id="9" xr3:uid="{1DA296C9-3C1F-4105-8AE6-2BCCFEDE2175}" name="Fev" dataDxfId="20"/>
    <tableColumn id="10" xr3:uid="{0D5481BA-3AE5-4172-922E-5321CD923C4C}" name="Mar" dataDxfId="19"/>
    <tableColumn id="11" xr3:uid="{43CDB5DF-2E1F-421B-9EC5-8F93F8DACAF5}" name="Abr" dataDxfId="18"/>
    <tableColumn id="12" xr3:uid="{D04A26DD-1318-4208-A1CB-279726E45685}" name="Mai" dataDxfId="17"/>
    <tableColumn id="13" xr3:uid="{E55555DD-9B07-4803-A857-C45478AD72CD}" name="Jun" dataDxfId="16"/>
    <tableColumn id="1" xr3:uid="{F8558262-87C2-43E0-A48C-159BB14311B5}" name="Jul" dataDxfId="15"/>
    <tableColumn id="3" xr3:uid="{DA358C54-86DB-4661-BEC3-EEDA75D2B78D}" name="Ago" dataDxfId="14"/>
    <tableColumn id="4" xr3:uid="{598C98A8-FA82-450B-BF95-189DFBD5D463}" name="Set" dataDxfId="13"/>
    <tableColumn id="5" xr3:uid="{81622C4F-6124-4E72-B2B0-5659AB4ACA48}" name="Out" dataDxfId="12"/>
    <tableColumn id="6" xr3:uid="{D4C17119-76C7-4B0E-A518-41F9972E3162}" name="Nov" dataDxfId="11"/>
    <tableColumn id="7" xr3:uid="{02524F18-A8AF-410A-AEC1-7E0751B0E45A}" name="Dez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5" totalsRowShown="0">
  <autoFilter ref="A1:F35" xr:uid="{367E6C2F-1005-4E45-ADAA-049405029246}"/>
  <tableColumns count="6">
    <tableColumn id="1" xr3:uid="{0ED41406-040A-4E22-A5E0-C23E1CF7AF54}" name="KeyParente"/>
    <tableColumn id="2" xr3:uid="{93E7CC29-FDEC-4A04-8B57-1B56CBA9CA65}" name="NomeParente"/>
    <tableColumn id="4" xr3:uid="{1EDC8AA1-1D79-4404-90CB-53282C95E288}" name="DataNascimentoParente" dataDxfId="2"/>
    <tableColumn id="5" xr3:uid="{7937C30B-6471-4FB4-96E2-EBA4EC0D6A05}" name="KeyEscolaridade" dataDxfId="1"/>
    <tableColumn id="3" xr3:uid="{56466016-BC3B-4F3B-9119-C6EDB4737E88}" name="KeyParentesco" dataDxfId="0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9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8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7"/>
    <tableColumn id="4" xr3:uid="{6BE994B7-EF7B-4CCD-9108-5FD2AC9C88D9}" name="DataNascimentoParente" dataDxfId="6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6" t="e" vm="1">
        <v>#VALUE!</v>
      </c>
      <c r="B1" s="26"/>
      <c r="C1" s="26"/>
      <c r="D1" s="29" t="s">
        <v>239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18"/>
      <c r="W1" s="18"/>
      <c r="X1" s="19"/>
      <c r="Y1" s="19"/>
      <c r="Z1" s="19"/>
    </row>
    <row r="2" spans="1:26" x14ac:dyDescent="0.25">
      <c r="A2" s="27"/>
      <c r="B2" s="27"/>
      <c r="C2" s="27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18"/>
      <c r="W2" s="18"/>
      <c r="X2" s="19"/>
      <c r="Y2" s="19"/>
      <c r="Z2" s="19"/>
    </row>
    <row r="3" spans="1:26" x14ac:dyDescent="0.25">
      <c r="A3" s="27"/>
      <c r="B3" s="27"/>
      <c r="C3" s="27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18"/>
      <c r="W3" s="18"/>
      <c r="X3" s="19"/>
      <c r="Y3" s="19"/>
      <c r="Z3" s="19"/>
    </row>
    <row r="4" spans="1:26" x14ac:dyDescent="0.25">
      <c r="A4" s="27"/>
      <c r="B4" s="27"/>
      <c r="C4" s="27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8"/>
      <c r="W4" s="18"/>
      <c r="X4" s="19"/>
      <c r="Y4" s="19"/>
      <c r="Z4" s="19"/>
    </row>
    <row r="5" spans="1:26" x14ac:dyDescent="0.25">
      <c r="A5" s="27"/>
      <c r="B5" s="27"/>
      <c r="C5" s="27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8"/>
      <c r="W5" s="18"/>
      <c r="X5" s="19"/>
      <c r="Y5" s="19"/>
      <c r="Z5" s="19"/>
    </row>
    <row r="6" spans="1:26" x14ac:dyDescent="0.25">
      <c r="A6" s="27"/>
      <c r="B6" s="27"/>
      <c r="C6" s="27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18"/>
      <c r="W6" s="18"/>
      <c r="X6" s="19"/>
      <c r="Y6" s="19"/>
      <c r="Z6" s="19"/>
    </row>
    <row r="7" spans="1:26" x14ac:dyDescent="0.25">
      <c r="A7" s="27"/>
      <c r="B7" s="27"/>
      <c r="C7" s="27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18"/>
      <c r="W7" s="18"/>
      <c r="X7" s="19"/>
      <c r="Y7" s="19"/>
      <c r="Z7" s="19"/>
    </row>
    <row r="8" spans="1:26" x14ac:dyDescent="0.25">
      <c r="A8" s="28"/>
      <c r="B8" s="28"/>
      <c r="C8" s="28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workbookViewId="0">
      <selection sqref="A1:G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47</v>
      </c>
      <c r="D1" t="s">
        <v>45</v>
      </c>
      <c r="E1" t="s">
        <v>46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11</v>
      </c>
      <c r="D2" t="s">
        <v>1</v>
      </c>
      <c r="E2" t="s">
        <v>130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11</v>
      </c>
      <c r="D3" t="s">
        <v>1</v>
      </c>
      <c r="E3" t="s">
        <v>158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10</v>
      </c>
      <c r="D4" t="s">
        <v>2</v>
      </c>
      <c r="E4" t="s">
        <v>224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10</v>
      </c>
      <c r="D5" t="s">
        <v>2</v>
      </c>
      <c r="E5" t="s">
        <v>152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8</v>
      </c>
      <c r="D6" t="s">
        <v>1</v>
      </c>
      <c r="E6" t="s">
        <v>107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9</v>
      </c>
      <c r="D7" t="s">
        <v>1</v>
      </c>
      <c r="E7" t="s">
        <v>117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11</v>
      </c>
      <c r="D8" t="s">
        <v>5</v>
      </c>
      <c r="E8" t="s">
        <v>117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11</v>
      </c>
      <c r="D9" t="s">
        <v>4</v>
      </c>
      <c r="E9" t="s">
        <v>139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8</v>
      </c>
      <c r="D10" t="s">
        <v>5</v>
      </c>
      <c r="E10" t="s">
        <v>147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H3"/>
  <sheetViews>
    <sheetView workbookViewId="0">
      <selection activeCell="E1" sqref="E1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44" t="s">
        <v>246</v>
      </c>
      <c r="B1" s="44" t="s">
        <v>43</v>
      </c>
      <c r="C1" s="45" t="s">
        <v>44</v>
      </c>
      <c r="D1" s="45" t="s">
        <v>47</v>
      </c>
      <c r="E1" s="45" t="s">
        <v>45</v>
      </c>
      <c r="F1" s="45" t="s">
        <v>46</v>
      </c>
      <c r="G1" s="45" t="s">
        <v>48</v>
      </c>
      <c r="H1" s="45" t="s">
        <v>49</v>
      </c>
    </row>
    <row r="2" spans="1:8" x14ac:dyDescent="0.25">
      <c r="A2">
        <v>1</v>
      </c>
      <c r="B2" t="s">
        <v>247</v>
      </c>
      <c r="C2" s="1">
        <v>24659</v>
      </c>
      <c r="D2">
        <v>6</v>
      </c>
      <c r="E2" t="s">
        <v>248</v>
      </c>
      <c r="F2" t="s">
        <v>24</v>
      </c>
      <c r="G2">
        <v>11897630803</v>
      </c>
      <c r="H2">
        <v>31956735208</v>
      </c>
    </row>
    <row r="3" spans="1:8" x14ac:dyDescent="0.25">
      <c r="A3">
        <v>2</v>
      </c>
      <c r="B3" t="s">
        <v>247</v>
      </c>
      <c r="C3" s="1">
        <v>24659</v>
      </c>
      <c r="D3">
        <v>6</v>
      </c>
      <c r="E3" t="s">
        <v>248</v>
      </c>
      <c r="F3" t="s">
        <v>24</v>
      </c>
      <c r="G3">
        <v>11897630803</v>
      </c>
      <c r="H3">
        <v>31956735208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F35"/>
  <sheetViews>
    <sheetView tabSelected="1" topLeftCell="A21" workbookViewId="0">
      <selection activeCell="E37" sqref="E37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61</v>
      </c>
      <c r="B1" t="s">
        <v>65</v>
      </c>
      <c r="C1" t="s">
        <v>63</v>
      </c>
      <c r="D1" s="17" t="s">
        <v>244</v>
      </c>
      <c r="E1" s="17" t="s">
        <v>245</v>
      </c>
      <c r="F1" t="s">
        <v>246</v>
      </c>
    </row>
    <row r="2" spans="1:6" x14ac:dyDescent="0.25">
      <c r="A2">
        <v>1</v>
      </c>
      <c r="B2" t="s">
        <v>176</v>
      </c>
      <c r="C2" s="1">
        <v>38482</v>
      </c>
      <c r="D2" s="17" t="s">
        <v>10</v>
      </c>
      <c r="E2" s="17" t="s">
        <v>33</v>
      </c>
    </row>
    <row r="3" spans="1:6" x14ac:dyDescent="0.25">
      <c r="A3">
        <v>1</v>
      </c>
      <c r="B3" t="s">
        <v>177</v>
      </c>
      <c r="C3" s="1">
        <v>39682</v>
      </c>
      <c r="D3" s="17" t="s">
        <v>9</v>
      </c>
      <c r="E3" s="17" t="s">
        <v>33</v>
      </c>
    </row>
    <row r="4" spans="1:6" x14ac:dyDescent="0.25">
      <c r="A4">
        <v>1</v>
      </c>
      <c r="B4" t="s">
        <v>178</v>
      </c>
      <c r="C4" s="1">
        <v>40922</v>
      </c>
      <c r="D4" s="17" t="s">
        <v>8</v>
      </c>
      <c r="E4" s="17" t="s">
        <v>33</v>
      </c>
    </row>
    <row r="5" spans="1:6" x14ac:dyDescent="0.25">
      <c r="A5">
        <v>4</v>
      </c>
      <c r="B5" t="s">
        <v>183</v>
      </c>
      <c r="C5" s="1">
        <v>36689</v>
      </c>
      <c r="D5" s="17" t="s">
        <v>11</v>
      </c>
      <c r="E5" s="17" t="s">
        <v>33</v>
      </c>
    </row>
    <row r="6" spans="1:6" x14ac:dyDescent="0.25">
      <c r="A6">
        <v>4</v>
      </c>
      <c r="B6" t="s">
        <v>184</v>
      </c>
      <c r="C6" s="1">
        <v>37871</v>
      </c>
      <c r="D6" s="17" t="s">
        <v>10</v>
      </c>
      <c r="E6" s="17" t="s">
        <v>33</v>
      </c>
    </row>
    <row r="7" spans="1:6" x14ac:dyDescent="0.25">
      <c r="A7">
        <v>4</v>
      </c>
      <c r="B7" t="s">
        <v>185</v>
      </c>
      <c r="C7" s="1">
        <v>39446</v>
      </c>
      <c r="D7" s="17" t="s">
        <v>9</v>
      </c>
      <c r="E7" s="17" t="s">
        <v>33</v>
      </c>
    </row>
    <row r="8" spans="1:6" x14ac:dyDescent="0.25">
      <c r="A8">
        <v>4</v>
      </c>
      <c r="B8" t="s">
        <v>186</v>
      </c>
      <c r="C8" s="1">
        <v>40252</v>
      </c>
      <c r="D8" s="17" t="s">
        <v>8</v>
      </c>
      <c r="E8" s="17" t="s">
        <v>33</v>
      </c>
    </row>
    <row r="9" spans="1:6" x14ac:dyDescent="0.25">
      <c r="A9">
        <v>5</v>
      </c>
      <c r="B9" t="s">
        <v>187</v>
      </c>
      <c r="C9" s="1">
        <v>39489</v>
      </c>
      <c r="D9" s="17" t="s">
        <v>8</v>
      </c>
      <c r="E9" s="17" t="s">
        <v>33</v>
      </c>
    </row>
    <row r="10" spans="1:6" x14ac:dyDescent="0.25">
      <c r="A10">
        <v>5</v>
      </c>
      <c r="B10" t="s">
        <v>188</v>
      </c>
      <c r="C10" s="1">
        <v>40722</v>
      </c>
      <c r="D10" s="17" t="s">
        <v>8</v>
      </c>
      <c r="E10" s="17" t="s">
        <v>33</v>
      </c>
    </row>
    <row r="11" spans="1:6" x14ac:dyDescent="0.25">
      <c r="A11">
        <v>6</v>
      </c>
      <c r="B11" t="s">
        <v>189</v>
      </c>
      <c r="C11" s="1">
        <v>31152</v>
      </c>
      <c r="D11" s="17" t="s">
        <v>12</v>
      </c>
      <c r="E11" s="17" t="s">
        <v>33</v>
      </c>
    </row>
    <row r="12" spans="1:6" x14ac:dyDescent="0.25">
      <c r="A12">
        <v>6</v>
      </c>
      <c r="B12" t="s">
        <v>190</v>
      </c>
      <c r="C12" s="1">
        <v>32347</v>
      </c>
      <c r="D12" s="17" t="s">
        <v>14</v>
      </c>
      <c r="E12" s="17" t="s">
        <v>33</v>
      </c>
    </row>
    <row r="13" spans="1:6" x14ac:dyDescent="0.25">
      <c r="A13">
        <v>6</v>
      </c>
      <c r="B13" t="s">
        <v>191</v>
      </c>
      <c r="C13" s="1">
        <v>40461</v>
      </c>
      <c r="D13" s="17" t="s">
        <v>8</v>
      </c>
      <c r="E13" s="17" t="s">
        <v>34</v>
      </c>
    </row>
    <row r="14" spans="1:6" x14ac:dyDescent="0.25">
      <c r="A14">
        <v>7</v>
      </c>
      <c r="B14" t="s">
        <v>192</v>
      </c>
      <c r="C14" s="1">
        <v>36057</v>
      </c>
      <c r="D14" s="17" t="s">
        <v>13</v>
      </c>
      <c r="E14" s="17" t="s">
        <v>39</v>
      </c>
    </row>
    <row r="15" spans="1:6" x14ac:dyDescent="0.25">
      <c r="A15">
        <v>7</v>
      </c>
      <c r="B15" t="s">
        <v>193</v>
      </c>
      <c r="C15" s="1">
        <v>24911</v>
      </c>
      <c r="D15" s="17" t="s">
        <v>8</v>
      </c>
      <c r="E15" s="17" t="s">
        <v>36</v>
      </c>
    </row>
    <row r="16" spans="1:6" x14ac:dyDescent="0.25">
      <c r="A16">
        <v>7</v>
      </c>
      <c r="B16" t="s">
        <v>194</v>
      </c>
      <c r="C16" s="1">
        <v>37230</v>
      </c>
      <c r="D16" s="17" t="s">
        <v>11</v>
      </c>
      <c r="E16" s="17" t="s">
        <v>39</v>
      </c>
    </row>
    <row r="17" spans="1:5" x14ac:dyDescent="0.25">
      <c r="A17">
        <v>7</v>
      </c>
      <c r="B17" t="s">
        <v>195</v>
      </c>
      <c r="C17" s="1">
        <v>43181</v>
      </c>
      <c r="D17" s="17" t="s">
        <v>7</v>
      </c>
      <c r="E17" s="17" t="s">
        <v>41</v>
      </c>
    </row>
    <row r="18" spans="1:5" x14ac:dyDescent="0.25">
      <c r="A18">
        <v>8</v>
      </c>
      <c r="B18" t="s">
        <v>196</v>
      </c>
      <c r="C18" s="1">
        <v>39546</v>
      </c>
      <c r="D18" s="17" t="s">
        <v>9</v>
      </c>
      <c r="E18" s="17" t="s">
        <v>33</v>
      </c>
    </row>
    <row r="19" spans="1:5" x14ac:dyDescent="0.25">
      <c r="A19">
        <v>8</v>
      </c>
      <c r="B19" t="s">
        <v>197</v>
      </c>
      <c r="C19" s="1">
        <v>40574</v>
      </c>
      <c r="D19" s="17" t="s">
        <v>8</v>
      </c>
      <c r="E19" s="17" t="s">
        <v>33</v>
      </c>
    </row>
    <row r="20" spans="1:5" x14ac:dyDescent="0.25">
      <c r="A20">
        <v>8</v>
      </c>
      <c r="B20" t="s">
        <v>198</v>
      </c>
      <c r="C20" s="1">
        <v>20242</v>
      </c>
      <c r="D20" s="17" t="s">
        <v>8</v>
      </c>
      <c r="E20" s="17" t="s">
        <v>36</v>
      </c>
    </row>
    <row r="21" spans="1:5" x14ac:dyDescent="0.25">
      <c r="A21">
        <v>9</v>
      </c>
      <c r="B21" t="s">
        <v>199</v>
      </c>
      <c r="C21" s="1">
        <v>26613</v>
      </c>
      <c r="D21" s="17" t="s">
        <v>11</v>
      </c>
      <c r="E21" s="17" t="s">
        <v>33</v>
      </c>
    </row>
    <row r="22" spans="1:5" x14ac:dyDescent="0.25">
      <c r="A22">
        <v>9</v>
      </c>
      <c r="B22" t="s">
        <v>200</v>
      </c>
      <c r="C22" s="1">
        <v>34867</v>
      </c>
      <c r="D22" s="17" t="s">
        <v>12</v>
      </c>
      <c r="E22" s="17" t="s">
        <v>34</v>
      </c>
    </row>
    <row r="23" spans="1:5" x14ac:dyDescent="0.25">
      <c r="A23">
        <v>9</v>
      </c>
      <c r="B23" t="s">
        <v>201</v>
      </c>
      <c r="C23" s="1">
        <v>36042</v>
      </c>
      <c r="D23" s="17" t="s">
        <v>13</v>
      </c>
      <c r="E23" s="17" t="s">
        <v>34</v>
      </c>
    </row>
    <row r="24" spans="1:5" x14ac:dyDescent="0.25">
      <c r="A24">
        <v>9</v>
      </c>
      <c r="B24" t="s">
        <v>202</v>
      </c>
      <c r="C24" s="1">
        <v>43144</v>
      </c>
      <c r="D24" s="17" t="s">
        <v>7</v>
      </c>
      <c r="E24" s="17" t="s">
        <v>35</v>
      </c>
    </row>
    <row r="25" spans="1:5" x14ac:dyDescent="0.25">
      <c r="A25">
        <v>9</v>
      </c>
      <c r="B25" t="s">
        <v>203</v>
      </c>
      <c r="C25" s="1">
        <v>11441</v>
      </c>
      <c r="D25" s="17" t="s">
        <v>7</v>
      </c>
      <c r="E25" s="17" t="s">
        <v>37</v>
      </c>
    </row>
    <row r="26" spans="1:5" x14ac:dyDescent="0.25">
      <c r="A26">
        <v>2</v>
      </c>
      <c r="B26" t="s">
        <v>179</v>
      </c>
      <c r="C26" s="1">
        <v>42066</v>
      </c>
      <c r="D26" s="17" t="s">
        <v>10</v>
      </c>
      <c r="E26" s="17" t="s">
        <v>33</v>
      </c>
    </row>
    <row r="27" spans="1:5" x14ac:dyDescent="0.25">
      <c r="A27">
        <v>3</v>
      </c>
      <c r="B27" t="s">
        <v>179</v>
      </c>
      <c r="C27" s="1">
        <v>34761</v>
      </c>
      <c r="D27" s="17" t="s">
        <v>14</v>
      </c>
      <c r="E27" s="17" t="s">
        <v>33</v>
      </c>
    </row>
    <row r="28" spans="1:5" x14ac:dyDescent="0.25">
      <c r="A28">
        <v>3</v>
      </c>
      <c r="B28" t="s">
        <v>180</v>
      </c>
      <c r="C28" s="1">
        <v>40377</v>
      </c>
      <c r="D28" s="17" t="s">
        <v>8</v>
      </c>
      <c r="E28" s="17" t="s">
        <v>33</v>
      </c>
    </row>
    <row r="29" spans="1:5" x14ac:dyDescent="0.25">
      <c r="A29">
        <v>3</v>
      </c>
      <c r="B29" t="s">
        <v>181</v>
      </c>
      <c r="C29" s="1">
        <v>41603</v>
      </c>
      <c r="D29" s="17" t="s">
        <v>8</v>
      </c>
      <c r="E29" s="17" t="s">
        <v>33</v>
      </c>
    </row>
    <row r="30" spans="1:5" x14ac:dyDescent="0.25">
      <c r="A30">
        <v>3</v>
      </c>
      <c r="B30" t="s">
        <v>182</v>
      </c>
      <c r="C30" s="1">
        <v>42462</v>
      </c>
      <c r="D30" s="17" t="s">
        <v>7</v>
      </c>
      <c r="E30" s="17" t="s">
        <v>33</v>
      </c>
    </row>
    <row r="31" spans="1:5" x14ac:dyDescent="0.25">
      <c r="A31">
        <v>10</v>
      </c>
      <c r="B31" t="s">
        <v>243</v>
      </c>
      <c r="C31" s="1">
        <v>35533</v>
      </c>
      <c r="D31" s="17" t="s">
        <v>11</v>
      </c>
      <c r="E31" s="17" t="s">
        <v>33</v>
      </c>
    </row>
    <row r="32" spans="1:5" x14ac:dyDescent="0.25">
      <c r="A32">
        <v>11</v>
      </c>
      <c r="B32" t="s">
        <v>243</v>
      </c>
      <c r="C32" s="1">
        <v>35533</v>
      </c>
      <c r="D32" s="17" t="s">
        <v>11</v>
      </c>
      <c r="E32" s="17" t="s">
        <v>33</v>
      </c>
    </row>
    <row r="33" spans="1:6" x14ac:dyDescent="0.25">
      <c r="A33">
        <v>12</v>
      </c>
      <c r="B33" t="s">
        <v>243</v>
      </c>
      <c r="C33" s="1">
        <v>35533</v>
      </c>
      <c r="D33" s="17">
        <v>5</v>
      </c>
      <c r="E33" s="17">
        <v>1</v>
      </c>
    </row>
    <row r="34" spans="1:6" x14ac:dyDescent="0.25">
      <c r="A34">
        <v>13</v>
      </c>
      <c r="B34" t="s">
        <v>243</v>
      </c>
      <c r="C34" s="1">
        <v>36221</v>
      </c>
      <c r="D34" s="17">
        <v>4</v>
      </c>
      <c r="E34" s="17">
        <v>8</v>
      </c>
      <c r="F34">
        <v>1</v>
      </c>
    </row>
    <row r="35" spans="1:6" x14ac:dyDescent="0.25">
      <c r="A35">
        <v>14</v>
      </c>
      <c r="B35" t="s">
        <v>243</v>
      </c>
      <c r="C35" s="1">
        <v>36221</v>
      </c>
      <c r="D35" s="17">
        <v>4</v>
      </c>
      <c r="E35" s="17">
        <v>8</v>
      </c>
      <c r="F35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41" t="s">
        <v>71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</row>
    <row r="5" spans="1:77" x14ac:dyDescent="0.25">
      <c r="A5" s="12" t="s">
        <v>67</v>
      </c>
      <c r="B5" s="6"/>
      <c r="C5" s="6"/>
      <c r="D5" s="6"/>
      <c r="E5" s="6"/>
      <c r="F5" s="42" t="s">
        <v>144</v>
      </c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32">
        <f>IFERROR(VLOOKUP(NomeAssistido,CADASTROS[],MATCH("DataNascimentoAssistido",CADASTROS[#Headers],0),0), "------")</f>
        <v>21537</v>
      </c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12" t="s">
        <v>69</v>
      </c>
      <c r="AW6" s="43" t="str">
        <f>IFERROR(VLOOKUP(NomeAssistido, CADASTROS[], MATCH("EstadoCivilAssistido", CADASTROS[#Headers], 0), 0), "------")</f>
        <v>Casado(a)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2" t="str">
        <f>IFERROR(VLOOKUP(NomeAssistido, CADASTROS[], MATCH("ProfissaoAssistido", CADASTROS[#Headers],0), 0), "------")</f>
        <v>Aposentado</v>
      </c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12" t="s">
        <v>70</v>
      </c>
      <c r="AX7" s="43" t="str">
        <f>IFERROR(VLOOKUP(NomeAssistido, CADASTROS[], MATCH("EscolaridadeAssistido", CADASTROS[#Headers], 0), 0), "------")</f>
        <v>Ensino Fundamental Completo</v>
      </c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356.166.130-02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(31) 98567-8901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41" t="s">
        <v>102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</row>
    <row r="11" spans="1:77" x14ac:dyDescent="0.25">
      <c r="A11" s="12" t="s">
        <v>67</v>
      </c>
      <c r="B11" s="6"/>
      <c r="C11" s="6"/>
      <c r="D11" s="6"/>
      <c r="E11" s="6"/>
      <c r="F11" s="42" t="str">
        <f>IFERROR(VLOOKUP(NomeAssistido, CADASTROS[], MATCH("NomeConjuge", CADASTROS[#Headers], 0), 0), "------")</f>
        <v>Marlene Gomes Silva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32">
        <f>IFERROR(VLOOKUP(NomeAssistido, CADASTROS[], MATCH("DataNascimentoConjuge", CADASTROS[#Headers], 0), 0), "------")</f>
        <v>22549</v>
      </c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12" t="s">
        <v>69</v>
      </c>
      <c r="AW12" s="42" t="str">
        <f>IFERROR(VLOOKUP(NomeAssistido, CADASTROS[], MATCH("EstadoCivilConjuge", CADASTROS[#Headers], 0), 0), "------")</f>
        <v>Casado(a)</v>
      </c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2" t="str">
        <f>IFERROR(VLOOKUP(NomeAssistido, CADASTROS[], MATCH("ProfissaoConjuge", CADASTROS[#Headers], 0), 0), "------")</f>
        <v>Aposentada</v>
      </c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12" t="s">
        <v>70</v>
      </c>
      <c r="AX13" s="42" t="str">
        <f>IFERROR(VLOOKUP(NomeAssistido, CADASTROS[], MATCH("EscolaridadeConjuge", CADASTROS[#Headers], 0), 0), "------")</f>
        <v>Ensino Fundamental Incompleto</v>
      </c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843.589.120-87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(31) 97890-1234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41" t="s">
        <v>83</v>
      </c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3" t="str">
        <f>IFERROR(VLOOKUP(NomeAssistido, CADASTROS[], MATCH("TipoMoradia", CADASTROS[#Headers], 0), 0), "------")</f>
        <v>Própria</v>
      </c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15" t="s">
        <v>82</v>
      </c>
      <c r="BP20" s="33">
        <f>IFERROR(VLOOKUP(NomeAssistido, CADASTROS[], MATCH("NPessoas", CADASTROS[#Headers], 0), 0), "------")</f>
        <v>3</v>
      </c>
      <c r="BQ20" s="33"/>
      <c r="BR20" s="33"/>
      <c r="BS20" s="33"/>
      <c r="BT20" s="33"/>
      <c r="BU20" s="33"/>
      <c r="BV20" s="33"/>
      <c r="BW20" s="33"/>
      <c r="BX20" s="33"/>
      <c r="BY20" s="33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6" t="str" cm="1">
        <f t="array" ref="F22">IFERROR(PROCINDICE(PARENTES[#All], keyParentes, "NomeParente", 1), "------")</f>
        <v>Rogério Gomes Silva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4" t="str" cm="1">
        <f t="array" ref="BK22">IFERROR(PROCINDICE(PARENTES[#All], keyParentes, "DataNascimentoParente", 1), "------")</f>
        <v>15/04/1985</v>
      </c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5" t="str" cm="1">
        <f t="array" ref="K23">IFERROR(PROCINDICE(PARENTES[#All], keyParentes, "EscolaridadeParente", 1), "------")</f>
        <v>------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6" t="str" cm="1">
        <f t="array" ref="BE23">IFERROR(PROCINDICE(PARENTES[#All], keyParentes, "GrauParentescoParente", 1), "------")</f>
        <v>------</v>
      </c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6" t="str" cm="1">
        <f t="array" ref="F25">IFERROR(PROCINDICE(PARENTES[#All], keyParentes, "NomeParente", 2), "------")</f>
        <v>Patrícia Gomes Silva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4" t="str" cm="1">
        <f t="array" ref="BK25">IFERROR(PROCINDICE(PARENTES[#All], keyParentes, "DataNascimentoParente", 2), "------")</f>
        <v>23/07/1988</v>
      </c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5" t="str" cm="1">
        <f t="array" ref="K26">IFERROR(PROCINDICE(PARENTES[#All], keyParentes, "EscolaridadeParente", 2), "------")</f>
        <v>------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6" t="str" cm="1">
        <f t="array" ref="BE26">IFERROR(PROCINDICE(PARENTES[#All], keyParentes, "GrauParentescoParente", 2), "------")</f>
        <v>------</v>
      </c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6" t="str" cm="1">
        <f t="array" ref="F28">IFERROR(PROCINDICE(PARENTES[#All], keyParentes, "NomeParente", 3), "------")</f>
        <v>Henrique Gomes Silva</v>
      </c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4" t="str" cm="1">
        <f t="array" ref="BK28">IFERROR(PROCINDICE(PARENTES[#All], keyParentes, "DataNascimentoParente", 3), "------")</f>
        <v>10/10/2010</v>
      </c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5" t="str" cm="1">
        <f t="array" ref="K29">IFERROR(PROCINDICE(PARENTES[#All], keyParentes, "EscolaridadeParente", 3), "------")</f>
        <v>------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6" t="str" cm="1">
        <f t="array" ref="BE29">IFERROR(PROCINDICE(PARENTES[#All], keyParentes, "GrauParentescoParente", 3), "------")</f>
        <v>------</v>
      </c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6" t="str" cm="1">
        <f t="array" ref="F31">IFERROR(PROCINDICE(PARENTES[#All], keyParentes, "NomeParente", 4), "------")</f>
        <v>------</v>
      </c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4" t="str" cm="1">
        <f t="array" ref="BK31">IFERROR(PROCINDICE(PARENTES[#All], keyParentes, "DataNascimentoParente", 4), "------")</f>
        <v>------</v>
      </c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5" t="str" cm="1">
        <f t="array" ref="K32">IFERROR(PROCINDICE(PARENTES[#All], keyParentes, "EscolaridadeParente", 4), "------")</f>
        <v>------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6" t="str" cm="1">
        <f t="array" ref="BE32">IFERROR(PROCINDICE(PARENTES[#All], keyParentes, "GrauParentescoParente", 4), "------")</f>
        <v>------</v>
      </c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6" t="str" cm="1">
        <f t="array" ref="F34">IFERROR(PROCINDICE(PARENTES[#All], keyParentes, "NomeParente", 5), "------")</f>
        <v>------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4" t="str" cm="1">
        <f t="array" ref="BK34">IFERROR(PROCINDICE(PARENTES[#All], keyParentes, "DataNascimentoParente", 5), "------")</f>
        <v>------</v>
      </c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5" t="str" cm="1">
        <f t="array" ref="K35">IFERROR(PROCINDICE(PARENTES[#All], keyParentes, "EscolaridadeParente", 5), "------")</f>
        <v>------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6" t="str" cm="1">
        <f t="array" ref="BE35">IFERROR(PROCINDICE(PARENTES[#All], keyParentes, "GrauParentescoParente", 5), "------")</f>
        <v>------</v>
      </c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6" t="str" cm="1">
        <f t="array" ref="F37">IFERROR(PROCINDICE(PARENTES[#All], keyParentes, "NomeParente", 6), "------")</f>
        <v>------</v>
      </c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4" t="str" cm="1">
        <f t="array" ref="BK37">IFERROR(PROCINDICE(PARENTES[#All], keyParentes, "DataNascimentoParente", 6), "------")</f>
        <v>------</v>
      </c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5" t="str" cm="1">
        <f t="array" ref="K38">IFERROR(PROCINDICE(PARENTES[#All], keyParentes, "EscolaridadeParente", 6), "------")</f>
        <v>------</v>
      </c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6" t="str" cm="1">
        <f t="array" ref="BE38">IFERROR(PROCINDICE(PARENTES[#All], keyParentes, "GrauParentescoParente", 6), "------")</f>
        <v>------</v>
      </c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6" t="str" cm="1">
        <f t="array" ref="F40">IFERROR(PROCINDICE(PARENTES[#All], keyParentes, "NomeParente", 7), "------")</f>
        <v>------</v>
      </c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4" t="str" cm="1">
        <f t="array" ref="BK40">IFERROR(PROCINDICE(PARENTES[#All], keyParentes, "DataNascimentoParente", 7), "------")</f>
        <v>------</v>
      </c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5" t="str" cm="1">
        <f t="array" ref="K41">IFERROR(PROCINDICE(PARENTES[#All], keyParentes, "EscolaridadeParente", 7), "------")</f>
        <v>------</v>
      </c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6" t="str" cm="1">
        <f t="array" ref="BE41">IFERROR(PROCINDICE(PARENTES[#All], keyParentes, "GrauParentescoParente", 7), "------")</f>
        <v>------</v>
      </c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38" t="s">
        <v>85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37" t="s">
        <v>89</v>
      </c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</row>
    <row r="53" spans="1:77" ht="9.75" customHeight="1" x14ac:dyDescent="0.25"/>
    <row r="54" spans="1:77" x14ac:dyDescent="0.25">
      <c r="A54" t="s">
        <v>93</v>
      </c>
      <c r="J54" s="32">
        <f>IFERROR(VLOOKUP(NomeAssistido, CADASTROS[], MATCH("DataSindicancia", CADASTROS[#Headers], 0), 0), "------")</f>
        <v>45672</v>
      </c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F54" t="s">
        <v>94</v>
      </c>
      <c r="AM54" s="33" t="str">
        <f>IFERROR(VLOOKUP(NomeAssistido, CADASTROS[], MATCH("NomeVisitador", CADASTROS[#Headers], 0), 0), "------")</f>
        <v>Ana Paula Oliveira</v>
      </c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</row>
  </sheetData>
  <mergeCells count="51">
    <mergeCell ref="M20:AO20"/>
    <mergeCell ref="BP20:BY20"/>
    <mergeCell ref="A16:BY16"/>
    <mergeCell ref="K23:AU23"/>
    <mergeCell ref="BK22:BY22"/>
    <mergeCell ref="BE23:BY23"/>
    <mergeCell ref="F22:AU22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B21" sqref="B21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9</vt:i4>
      </vt:variant>
    </vt:vector>
  </HeadingPairs>
  <TitlesOfParts>
    <vt:vector size="23" baseType="lpstr">
      <vt:lpstr>MENU</vt:lpstr>
      <vt:lpstr>CADASTROS</vt:lpstr>
      <vt:lpstr>ASSISTIDO</vt:lpstr>
      <vt:lpstr>ACOMPANHAMENTO</vt:lpstr>
      <vt:lpstr>TABELAS_AUXILIARES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2026-06-16T03:05:21Z</dcterms:modified>
</cp:coreProperties>
</file>