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682" documentId="8_{4D8E80CC-674F-4C25-B921-617157F312F2}" xr6:coauthVersionLast="47" xr6:coauthVersionMax="47" xr10:uidLastSave="{1B83DCAE-839C-44E7-B7CE-ED3D748E9B43}"/>
  <bookViews>
    <workbookView xWindow="-120" yWindow="-120" windowWidth="20730" windowHeight="11040" tabRatio="890" xr2:uid="{FD1134B4-C37A-482C-B875-A4A14024FB80}"/>
  </bookViews>
  <sheets>
    <sheet name="MENU" sheetId="1" r:id="rId1"/>
    <sheet name="CADASTROS" sheetId="10" state="hidden" r:id="rId2"/>
    <sheet name="ACOMPANHAMENTO" sheetId="14" state="hidden" r:id="rId3"/>
    <sheet name="TABELAS_AUXILIARES" sheetId="16" state="hidden" r:id="rId4"/>
    <sheet name="PARENTES" sheetId="5" state="hidden" r:id="rId5"/>
    <sheet name="DADOS_DE_TESTE" sheetId="12" state="hidden" r:id="rId6"/>
    <sheet name="FICHA_CADASTRAL" sheetId="11" r:id="rId7"/>
    <sheet name="GRAUS_PARENTESCO" sheetId="9" state="hidden" r:id="rId8"/>
    <sheet name="TIPO_MORADIA" sheetId="8" state="hidden" r:id="rId9"/>
    <sheet name="ESTADOS_CIVIS" sheetId="3" state="hidden" r:id="rId10"/>
    <sheet name="ESCOLARIDADES" sheetId="4" state="hidden" r:id="rId11"/>
    <sheet name="PROFISSOES" sheetId="6" state="hidden" r:id="rId12"/>
    <sheet name="PROGRAMAS_GOV" sheetId="7" state="hidden" r:id="rId13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BK40" i="11" a="1"/>
  <c r="BE26" i="11" a="1"/>
  <c r="BK22" i="11" a="1"/>
  <c r="F25" i="11" a="1"/>
  <c r="BK25" i="11" a="1"/>
  <c r="F34" i="11" a="1"/>
  <c r="BE23" i="11" a="1"/>
  <c r="K41" i="11" a="1"/>
  <c r="BE32" i="11" a="1"/>
  <c r="F40" i="11" a="1"/>
  <c r="BE41" i="11" a="1"/>
  <c r="K23" i="11" a="1"/>
  <c r="K32" i="11" a="1"/>
  <c r="F22" i="11" a="1"/>
  <c r="BK28" i="11" a="1"/>
  <c r="K35" i="11" a="1"/>
  <c r="K26" i="11" a="1"/>
  <c r="BE38" i="11" a="1"/>
  <c r="F28" i="11" a="1"/>
  <c r="BE35" i="11" a="1"/>
  <c r="F37" i="11" a="1"/>
  <c r="K38" i="11" a="1"/>
  <c r="BE29" i="11" a="1"/>
  <c r="K29" i="11" a="1"/>
  <c r="BK34" i="11" a="1"/>
  <c r="BK31" i="11" a="1"/>
  <c r="BK37" i="11" a="1"/>
  <c r="F31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<sst xmlns="http://schemas.openxmlformats.org/spreadsheetml/2006/main" count="672" uniqueCount="243">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</sst>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2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1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0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19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8"/>
    <tableColumn id="8" xr3:uid="{3692651C-4D8A-4D18-820D-0CA629F413D1}" name="Jan" dataDxfId="17"/>
    <tableColumn id="9" xr3:uid="{1DA296C9-3C1F-4105-8AE6-2BCCFEDE2175}" name="Fev" dataDxfId="16"/>
    <tableColumn id="10" xr3:uid="{0D5481BA-3AE5-4172-922E-5321CD923C4C}" name="Mar" dataDxfId="15"/>
    <tableColumn id="11" xr3:uid="{43CDB5DF-2E1F-421B-9EC5-8F93F8DACAF5}" name="Abr" dataDxfId="14"/>
    <tableColumn id="12" xr3:uid="{D04A26DD-1318-4208-A1CB-279726E45685}" name="Mai" dataDxfId="13"/>
    <tableColumn id="13" xr3:uid="{E55555DD-9B07-4803-A857-C45478AD72CD}" name="Jun" dataDxfId="12"/>
    <tableColumn id="1" xr3:uid="{F8558262-87C2-43E0-A48C-159BB14311B5}" name="Jul" dataDxfId="11"/>
    <tableColumn id="3" xr3:uid="{DA358C54-86DB-4661-BEC3-EEDA75D2B78D}" name="Ago" dataDxfId="10"/>
    <tableColumn id="4" xr3:uid="{598C98A8-FA82-450B-BF95-189DFBD5D463}" name="Set" dataDxfId="9"/>
    <tableColumn id="5" xr3:uid="{81622C4F-6124-4E72-B2B0-5659AB4ACA48}" name="Out" dataDxfId="8"/>
    <tableColumn id="6" xr3:uid="{D4C17119-76C7-4B0E-A518-41F9972E3162}" name="Nov" dataDxfId="7"/>
    <tableColumn id="7" xr3:uid="{02524F18-A8AF-410A-AEC1-7E0751B0E45A}" name="Dez" dataDxfId="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30" totalsRowShown="0">
  <autoFilter ref="A1:E30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3" xr3:uid="{56466016-BC3B-4F3B-9119-C6EDB4737E88}" name="GrauParentescoParente" dataDxfId="5"/>
    <tableColumn id="4" xr3:uid="{1EDC8AA1-1D79-4404-90CB-53282C95E288}" name="DataNascimentoParente" dataDxfId="4"/>
    <tableColumn id="5" xr3:uid="{7937C30B-6471-4FB4-96E2-EBA4EC0D6A05}" name="EscolaridadeParent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tabSelected="1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6" t="e" vm="1">
        <v>#VALUE!</v>
      </c>
      <c r="B1" s="26"/>
      <c r="C1" s="26"/>
      <c r="D1" s="29" t="s">
        <v>239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18"/>
      <c r="W1" s="18"/>
      <c r="X1" s="19"/>
      <c r="Y1" s="19"/>
      <c r="Z1" s="19"/>
    </row>
    <row r="2" spans="1:26" x14ac:dyDescent="0.25">
      <c r="A2" s="27"/>
      <c r="B2" s="27"/>
      <c r="C2" s="27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18"/>
      <c r="W2" s="18"/>
      <c r="X2" s="19"/>
      <c r="Y2" s="19"/>
      <c r="Z2" s="19"/>
    </row>
    <row r="3" spans="1:26" x14ac:dyDescent="0.25">
      <c r="A3" s="27"/>
      <c r="B3" s="27"/>
      <c r="C3" s="27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18"/>
      <c r="W3" s="18"/>
      <c r="X3" s="19"/>
      <c r="Y3" s="19"/>
      <c r="Z3" s="19"/>
    </row>
    <row r="4" spans="1:26" x14ac:dyDescent="0.25">
      <c r="A4" s="27"/>
      <c r="B4" s="27"/>
      <c r="C4" s="27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8"/>
      <c r="W4" s="18"/>
      <c r="X4" s="19"/>
      <c r="Y4" s="19"/>
      <c r="Z4" s="19"/>
    </row>
    <row r="5" spans="1:26" x14ac:dyDescent="0.25">
      <c r="A5" s="27"/>
      <c r="B5" s="27"/>
      <c r="C5" s="27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8"/>
      <c r="W5" s="18"/>
      <c r="X5" s="19"/>
      <c r="Y5" s="19"/>
      <c r="Z5" s="19"/>
    </row>
    <row r="6" spans="1:26" x14ac:dyDescent="0.25">
      <c r="A6" s="27"/>
      <c r="B6" s="27"/>
      <c r="C6" s="27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18"/>
      <c r="W6" s="18"/>
      <c r="X6" s="19"/>
      <c r="Y6" s="19"/>
      <c r="Z6" s="19"/>
    </row>
    <row r="7" spans="1:26" x14ac:dyDescent="0.25">
      <c r="A7" s="27"/>
      <c r="B7" s="27"/>
      <c r="C7" s="27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18"/>
      <c r="W7" s="18"/>
      <c r="X7" s="19"/>
      <c r="Y7" s="19"/>
      <c r="Z7" s="19"/>
    </row>
    <row r="8" spans="1:26" x14ac:dyDescent="0.25">
      <c r="A8" s="28"/>
      <c r="B8" s="28"/>
      <c r="C8" s="28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topLeftCell="R1" workbookViewId="0">
      <selection activeCell="F11" sqref="F11:BY1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</v>
      </c>
      <c r="D2" t="s">
        <v>130</v>
      </c>
      <c r="E2" t="s">
        <v>11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</v>
      </c>
      <c r="D3" t="s">
        <v>158</v>
      </c>
      <c r="E3" t="s">
        <v>11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2</v>
      </c>
      <c r="D4" t="s">
        <v>224</v>
      </c>
      <c r="E4" t="s">
        <v>10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2</v>
      </c>
      <c r="D5" t="s">
        <v>152</v>
      </c>
      <c r="E5" t="s">
        <v>10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1</v>
      </c>
      <c r="D6" t="s">
        <v>107</v>
      </c>
      <c r="E6" t="s">
        <v>8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5</v>
      </c>
      <c r="D8" t="s">
        <v>117</v>
      </c>
      <c r="E8" t="s">
        <v>11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4</v>
      </c>
      <c r="D9" t="s">
        <v>139</v>
      </c>
      <c r="E9" t="s">
        <v>11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30"/>
  <sheetViews>
    <sheetView topLeftCell="A16" workbookViewId="0">
      <selection activeCell="F11" sqref="F11:BY11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</cols>
  <sheetData>
    <row r="1" spans="1:5" x14ac:dyDescent="0.25">
      <c r="A1" t="s">
        <v>61</v>
      </c>
      <c r="B1" t="s">
        <v>65</v>
      </c>
      <c r="C1" t="s">
        <v>64</v>
      </c>
      <c r="D1" t="s">
        <v>63</v>
      </c>
      <c r="E1" t="s">
        <v>62</v>
      </c>
    </row>
    <row r="2" spans="1:5" x14ac:dyDescent="0.25">
      <c r="A2">
        <v>1</v>
      </c>
      <c r="B2" t="s">
        <v>176</v>
      </c>
      <c r="C2" s="1" t="s">
        <v>33</v>
      </c>
      <c r="D2" s="1">
        <v>38482</v>
      </c>
      <c r="E2" t="s">
        <v>10</v>
      </c>
    </row>
    <row r="3" spans="1:5" x14ac:dyDescent="0.25">
      <c r="A3">
        <v>1</v>
      </c>
      <c r="B3" t="s">
        <v>177</v>
      </c>
      <c r="C3" t="s">
        <v>33</v>
      </c>
      <c r="D3" s="1">
        <v>39682</v>
      </c>
      <c r="E3" t="s">
        <v>9</v>
      </c>
    </row>
    <row r="4" spans="1:5" x14ac:dyDescent="0.25">
      <c r="A4">
        <v>1</v>
      </c>
      <c r="B4" t="s">
        <v>178</v>
      </c>
      <c r="C4" t="s">
        <v>33</v>
      </c>
      <c r="D4" s="1">
        <v>40922</v>
      </c>
      <c r="E4" t="s">
        <v>8</v>
      </c>
    </row>
    <row r="5" spans="1:5" x14ac:dyDescent="0.25">
      <c r="A5">
        <v>4</v>
      </c>
      <c r="B5" t="s">
        <v>183</v>
      </c>
      <c r="C5" t="s">
        <v>33</v>
      </c>
      <c r="D5" s="1">
        <v>36689</v>
      </c>
      <c r="E5" t="s">
        <v>11</v>
      </c>
    </row>
    <row r="6" spans="1:5" x14ac:dyDescent="0.25">
      <c r="A6">
        <v>4</v>
      </c>
      <c r="B6" t="s">
        <v>184</v>
      </c>
      <c r="C6" t="s">
        <v>33</v>
      </c>
      <c r="D6" s="1">
        <v>37871</v>
      </c>
      <c r="E6" t="s">
        <v>10</v>
      </c>
    </row>
    <row r="7" spans="1:5" x14ac:dyDescent="0.25">
      <c r="A7">
        <v>4</v>
      </c>
      <c r="B7" t="s">
        <v>185</v>
      </c>
      <c r="C7" t="s">
        <v>33</v>
      </c>
      <c r="D7" s="1">
        <v>39446</v>
      </c>
      <c r="E7" t="s">
        <v>9</v>
      </c>
    </row>
    <row r="8" spans="1:5" x14ac:dyDescent="0.25">
      <c r="A8">
        <v>4</v>
      </c>
      <c r="B8" t="s">
        <v>186</v>
      </c>
      <c r="C8" t="s">
        <v>33</v>
      </c>
      <c r="D8" s="1">
        <v>40252</v>
      </c>
      <c r="E8" t="s">
        <v>8</v>
      </c>
    </row>
    <row r="9" spans="1:5" x14ac:dyDescent="0.25">
      <c r="A9">
        <v>5</v>
      </c>
      <c r="B9" t="s">
        <v>187</v>
      </c>
      <c r="C9" t="s">
        <v>33</v>
      </c>
      <c r="D9" s="1">
        <v>39489</v>
      </c>
      <c r="E9" t="s">
        <v>8</v>
      </c>
    </row>
    <row r="10" spans="1:5" x14ac:dyDescent="0.25">
      <c r="A10">
        <v>5</v>
      </c>
      <c r="B10" t="s">
        <v>188</v>
      </c>
      <c r="C10" t="s">
        <v>33</v>
      </c>
      <c r="D10" s="1">
        <v>40722</v>
      </c>
      <c r="E10" t="s">
        <v>8</v>
      </c>
    </row>
    <row r="11" spans="1:5" x14ac:dyDescent="0.25">
      <c r="A11">
        <v>6</v>
      </c>
      <c r="B11" t="s">
        <v>189</v>
      </c>
      <c r="C11" t="s">
        <v>33</v>
      </c>
      <c r="D11" s="1">
        <v>31152</v>
      </c>
      <c r="E11" t="s">
        <v>12</v>
      </c>
    </row>
    <row r="12" spans="1:5" x14ac:dyDescent="0.25">
      <c r="A12">
        <v>6</v>
      </c>
      <c r="B12" t="s">
        <v>190</v>
      </c>
      <c r="C12" t="s">
        <v>33</v>
      </c>
      <c r="D12" s="1">
        <v>32347</v>
      </c>
      <c r="E12" t="s">
        <v>14</v>
      </c>
    </row>
    <row r="13" spans="1:5" x14ac:dyDescent="0.25">
      <c r="A13">
        <v>6</v>
      </c>
      <c r="B13" t="s">
        <v>191</v>
      </c>
      <c r="C13" t="s">
        <v>34</v>
      </c>
      <c r="D13" s="1">
        <v>40461</v>
      </c>
      <c r="E13" t="s">
        <v>8</v>
      </c>
    </row>
    <row r="14" spans="1:5" x14ac:dyDescent="0.25">
      <c r="A14">
        <v>7</v>
      </c>
      <c r="B14" t="s">
        <v>192</v>
      </c>
      <c r="C14" t="s">
        <v>39</v>
      </c>
      <c r="D14" s="1">
        <v>36057</v>
      </c>
      <c r="E14" t="s">
        <v>13</v>
      </c>
    </row>
    <row r="15" spans="1:5" x14ac:dyDescent="0.25">
      <c r="A15">
        <v>7</v>
      </c>
      <c r="B15" t="s">
        <v>193</v>
      </c>
      <c r="C15" t="s">
        <v>36</v>
      </c>
      <c r="D15" s="1">
        <v>24911</v>
      </c>
      <c r="E15" t="s">
        <v>8</v>
      </c>
    </row>
    <row r="16" spans="1:5" x14ac:dyDescent="0.25">
      <c r="A16">
        <v>7</v>
      </c>
      <c r="B16" t="s">
        <v>194</v>
      </c>
      <c r="C16" t="s">
        <v>39</v>
      </c>
      <c r="D16" s="1">
        <v>37230</v>
      </c>
      <c r="E16" t="s">
        <v>11</v>
      </c>
    </row>
    <row r="17" spans="1:5" x14ac:dyDescent="0.25">
      <c r="A17">
        <v>7</v>
      </c>
      <c r="B17" t="s">
        <v>195</v>
      </c>
      <c r="C17" t="s">
        <v>41</v>
      </c>
      <c r="D17" s="1">
        <v>43181</v>
      </c>
      <c r="E17" t="s">
        <v>7</v>
      </c>
    </row>
    <row r="18" spans="1:5" x14ac:dyDescent="0.25">
      <c r="A18">
        <v>8</v>
      </c>
      <c r="B18" t="s">
        <v>196</v>
      </c>
      <c r="C18" t="s">
        <v>33</v>
      </c>
      <c r="D18" s="1">
        <v>39546</v>
      </c>
      <c r="E18" t="s">
        <v>9</v>
      </c>
    </row>
    <row r="19" spans="1:5" x14ac:dyDescent="0.25">
      <c r="A19">
        <v>8</v>
      </c>
      <c r="B19" t="s">
        <v>197</v>
      </c>
      <c r="C19" t="s">
        <v>33</v>
      </c>
      <c r="D19" s="1">
        <v>40574</v>
      </c>
      <c r="E19" t="s">
        <v>8</v>
      </c>
    </row>
    <row r="20" spans="1:5" x14ac:dyDescent="0.25">
      <c r="A20">
        <v>8</v>
      </c>
      <c r="B20" t="s">
        <v>198</v>
      </c>
      <c r="C20" t="s">
        <v>36</v>
      </c>
      <c r="D20" s="1">
        <v>20242</v>
      </c>
      <c r="E20" t="s">
        <v>8</v>
      </c>
    </row>
    <row r="21" spans="1:5" x14ac:dyDescent="0.25">
      <c r="A21">
        <v>9</v>
      </c>
      <c r="B21" t="s">
        <v>199</v>
      </c>
      <c r="C21" t="s">
        <v>33</v>
      </c>
      <c r="D21" s="1">
        <v>26613</v>
      </c>
      <c r="E21" t="s">
        <v>11</v>
      </c>
    </row>
    <row r="22" spans="1:5" x14ac:dyDescent="0.25">
      <c r="A22">
        <v>9</v>
      </c>
      <c r="B22" t="s">
        <v>200</v>
      </c>
      <c r="C22" t="s">
        <v>34</v>
      </c>
      <c r="D22" s="1">
        <v>34867</v>
      </c>
      <c r="E22" t="s">
        <v>12</v>
      </c>
    </row>
    <row r="23" spans="1:5" x14ac:dyDescent="0.25">
      <c r="A23">
        <v>9</v>
      </c>
      <c r="B23" t="s">
        <v>201</v>
      </c>
      <c r="C23" t="s">
        <v>34</v>
      </c>
      <c r="D23" s="1">
        <v>36042</v>
      </c>
      <c r="E23" t="s">
        <v>13</v>
      </c>
    </row>
    <row r="24" spans="1:5" x14ac:dyDescent="0.25">
      <c r="A24">
        <v>9</v>
      </c>
      <c r="B24" t="s">
        <v>202</v>
      </c>
      <c r="C24" t="s">
        <v>35</v>
      </c>
      <c r="D24" s="1">
        <v>43144</v>
      </c>
      <c r="E24" t="s">
        <v>7</v>
      </c>
    </row>
    <row r="25" spans="1:5" x14ac:dyDescent="0.25">
      <c r="A25">
        <v>9</v>
      </c>
      <c r="B25" t="s">
        <v>203</v>
      </c>
      <c r="C25" t="s">
        <v>37</v>
      </c>
      <c r="D25" s="1">
        <v>11441</v>
      </c>
      <c r="E25" t="s">
        <v>7</v>
      </c>
    </row>
    <row r="26" spans="1:5" x14ac:dyDescent="0.25">
      <c r="A26">
        <v>2</v>
      </c>
      <c r="B26" t="s">
        <v>179</v>
      </c>
      <c r="C26" s="1" t="s">
        <v>33</v>
      </c>
      <c r="D26" s="1">
        <v>42066</v>
      </c>
      <c r="E26" t="s">
        <v>10</v>
      </c>
    </row>
    <row r="27" spans="1:5" x14ac:dyDescent="0.25">
      <c r="A27">
        <v>3</v>
      </c>
      <c r="B27" t="s">
        <v>179</v>
      </c>
      <c r="C27" s="1" t="s">
        <v>33</v>
      </c>
      <c r="D27" s="1">
        <v>34761</v>
      </c>
      <c r="E27" t="s">
        <v>14</v>
      </c>
    </row>
    <row r="28" spans="1:5" x14ac:dyDescent="0.25">
      <c r="A28">
        <v>3</v>
      </c>
      <c r="B28" t="s">
        <v>180</v>
      </c>
      <c r="C28" s="1" t="s">
        <v>33</v>
      </c>
      <c r="D28" s="1">
        <v>40377</v>
      </c>
      <c r="E28" t="s">
        <v>8</v>
      </c>
    </row>
    <row r="29" spans="1:5" x14ac:dyDescent="0.25">
      <c r="A29">
        <v>3</v>
      </c>
      <c r="B29" t="s">
        <v>181</v>
      </c>
      <c r="C29" s="1" t="s">
        <v>33</v>
      </c>
      <c r="D29" s="1">
        <v>41603</v>
      </c>
      <c r="E29" t="s">
        <v>8</v>
      </c>
    </row>
    <row r="30" spans="1:5" x14ac:dyDescent="0.25">
      <c r="A30">
        <v>3</v>
      </c>
      <c r="B30" t="s">
        <v>182</v>
      </c>
      <c r="C30" s="1" t="s">
        <v>33</v>
      </c>
      <c r="D30" s="1">
        <v>42462</v>
      </c>
      <c r="E30" t="s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3" t="s">
        <v>71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</row>
    <row r="5" spans="1:77" x14ac:dyDescent="0.25">
      <c r="A5" s="12" t="s">
        <v>67</v>
      </c>
      <c r="B5" s="6"/>
      <c r="C5" s="6"/>
      <c r="D5" s="6"/>
      <c r="E5" s="6"/>
      <c r="F5" s="39" t="s">
        <v>144</v>
      </c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1">
        <f>IFERROR(VLOOKUP(NomeAssistido,CADASTROS[],MATCH("DataNascimentoAssistido",CADASTROS[#Headers],0),0), "------")</f>
        <v>21537</v>
      </c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12" t="s">
        <v>69</v>
      </c>
      <c r="AW6" s="40" t="str">
        <f>IFERROR(VLOOKUP(NomeAssistido, CADASTROS[], MATCH("EstadoCivilAssistido", CADASTROS[#Headers], 0), 0), "------")</f>
        <v>Casado(a)</v>
      </c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39" t="str">
        <f>IFERROR(VLOOKUP(NomeAssistido, CADASTROS[], MATCH("ProfissaoAssistido", CADASTROS[#Headers],0), 0), "------")</f>
        <v>Aposentado</v>
      </c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12" t="s">
        <v>70</v>
      </c>
      <c r="AX7" s="40" t="str">
        <f>IFERROR(VLOOKUP(NomeAssistido, CADASTROS[], MATCH("EscolaridadeAssistido", CADASTROS[#Headers], 0), 0), "------")</f>
        <v>Ensino Fundamental Completo</v>
      </c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</row>
    <row r="8" spans="1:77" x14ac:dyDescent="0.25">
      <c r="A8" s="13" t="s">
        <v>78</v>
      </c>
      <c r="B8" s="6"/>
      <c r="C8" s="6"/>
      <c r="D8" s="6"/>
      <c r="E8" s="37" t="str">
        <f>IFERROR(VLOOKUP(NomeAssistido, CADASTROS[], MATCH("CPFAssistido", CADASTROS[#Headers],0), 0), "------")</f>
        <v>356.166.130-02</v>
      </c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12" t="s">
        <v>79</v>
      </c>
      <c r="AU8" s="38" t="str">
        <f>IFERROR(VLOOKUP(NomeAssistido, CADASTROS[], MATCH("TelefoneAssistido", CADASTROS[#Headers], 0), 0), "------")</f>
        <v>(31) 98567-8901</v>
      </c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3" t="s">
        <v>102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</row>
    <row r="11" spans="1:77" x14ac:dyDescent="0.25">
      <c r="A11" s="12" t="s">
        <v>67</v>
      </c>
      <c r="B11" s="6"/>
      <c r="C11" s="6"/>
      <c r="D11" s="6"/>
      <c r="E11" s="6"/>
      <c r="F11" s="39" t="str">
        <f>IFERROR(VLOOKUP(NomeAssistido, CADASTROS[], MATCH("NomeConjuge", CADASTROS[#Headers], 0), 0), "------")</f>
        <v>Marlene Gomes Silva</v>
      </c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1">
        <f>IFERROR(VLOOKUP(NomeAssistido, CADASTROS[], MATCH("DataNascimentoConjuge", CADASTROS[#Headers], 0), 0), "------")</f>
        <v>22549</v>
      </c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12" t="s">
        <v>69</v>
      </c>
      <c r="AW12" s="39" t="str">
        <f>IFERROR(VLOOKUP(NomeAssistido, CADASTROS[], MATCH("EstadoCivilConjuge", CADASTROS[#Headers], 0), 0), "------")</f>
        <v>Casado(a)</v>
      </c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39" t="str">
        <f>IFERROR(VLOOKUP(NomeAssistido, CADASTROS[], MATCH("ProfissaoConjuge", CADASTROS[#Headers], 0), 0), "------")</f>
        <v>Aposentada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12" t="s">
        <v>70</v>
      </c>
      <c r="AX13" s="39" t="str">
        <f>IFERROR(VLOOKUP(NomeAssistido, CADASTROS[], MATCH("EscolaridadeConjuge", CADASTROS[#Headers], 0), 0), "------")</f>
        <v>Ensino Fundamental Incompleto</v>
      </c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</row>
    <row r="14" spans="1:77" x14ac:dyDescent="0.25">
      <c r="A14" s="13" t="s">
        <v>78</v>
      </c>
      <c r="B14" s="6"/>
      <c r="C14" s="6"/>
      <c r="D14" s="6"/>
      <c r="E14" s="37" t="str">
        <f>IFERROR(VLOOKUP(NomeAssistido, CADASTROS[], MATCH("CPFConjuge", CADASTROS[#Headers], 0), 0), "------")</f>
        <v>843.589.120-87</v>
      </c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12" t="s">
        <v>79</v>
      </c>
      <c r="AU14" s="38" t="str">
        <f>IFERROR(VLOOKUP(NomeAssistido, CADASTROS[], MATCH("TelefoneConjuge", CADASTROS[#Headers], 0), 0), "------")</f>
        <v>(31) 97890-1234</v>
      </c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3" t="s">
        <v>83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2" t="str">
        <f>IFERROR(VLOOKUP(NomeAssistido, CADASTROS[], MATCH("TipoMoradia", CADASTROS[#Headers], 0), 0), "------")</f>
        <v>Própria</v>
      </c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Q20" s="15" t="s">
        <v>82</v>
      </c>
      <c r="BP20" s="32">
        <f>IFERROR(VLOOKUP(NomeAssistido, CADASTROS[], MATCH("NPessoas", CADASTROS[#Headers], 0), 0), "------")</f>
        <v>3</v>
      </c>
      <c r="BQ20" s="32"/>
      <c r="BR20" s="32"/>
      <c r="BS20" s="32"/>
      <c r="BT20" s="32"/>
      <c r="BU20" s="32"/>
      <c r="BV20" s="32"/>
      <c r="BW20" s="32"/>
      <c r="BX20" s="32"/>
      <c r="BY20" s="32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6" t="str" cm="1">
        <f t="array" ref="F22">IFERROR(PROCINDICE(PARENTES[#All], keyParentes, "NomeParente", 1), "------")</f>
        <v>Rogério Gomes Silva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5" t="str" cm="1">
        <f t="array" ref="BK22">IFERROR(PROCINDICE(PARENTES[#All], keyParentes, "DataNascimentoParente", 1), "------")</f>
        <v>15/04/1985</v>
      </c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4" t="str" cm="1">
        <f t="array" ref="K23">IFERROR(PROCINDICE(PARENTES[#All], keyParentes, "EscolaridadeParente", 1), "------")</f>
        <v>Curso Técnico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6" t="str" cm="1">
        <f t="array" ref="BE23">IFERROR(PROCINDICE(PARENTES[#All], keyParentes, "GrauParentescoParente", 1), "------")</f>
        <v>Filho(a)</v>
      </c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6" t="str" cm="1">
        <f t="array" ref="F25">IFERROR(PROCINDICE(PARENTES[#All], keyParentes, "NomeParente", 2), "------")</f>
        <v>Patrícia Gomes Silva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5" t="str" cm="1">
        <f t="array" ref="BK25">IFERROR(PROCINDICE(PARENTES[#All], keyParentes, "DataNascimentoParente", 2), "------")</f>
        <v>23/07/1988</v>
      </c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4" t="str" cm="1">
        <f t="array" ref="K26">IFERROR(PROCINDICE(PARENTES[#All], keyParentes, "EscolaridadeParente", 2), "------")</f>
        <v>Ensino Superior Completo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6" t="str" cm="1">
        <f t="array" ref="BE26">IFERROR(PROCINDICE(PARENTES[#All], keyParentes, "GrauParentescoParente", 2), "------")</f>
        <v>Filho(a)</v>
      </c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6" t="str" cm="1">
        <f t="array" ref="F28">IFERROR(PROCINDICE(PARENTES[#All], keyParentes, "NomeParente", 3), "------")</f>
        <v>Henrique Gomes Silva</v>
      </c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5" t="str" cm="1">
        <f t="array" ref="BK28">IFERROR(PROCINDICE(PARENTES[#All], keyParentes, "DataNascimentoParente", 3), "------")</f>
        <v>10/10/2010</v>
      </c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4" t="str" cm="1">
        <f t="array" ref="K29">IFERROR(PROCINDICE(PARENTES[#All], keyParentes, "EscolaridadeParente", 3), "------")</f>
        <v>Ensino Fundamental Incompleto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6" t="str" cm="1">
        <f t="array" ref="BE29">IFERROR(PROCINDICE(PARENTES[#All], keyParentes, "GrauParentescoParente", 3), "------")</f>
        <v>Neto(a)</v>
      </c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6" t="str" cm="1">
        <f t="array" ref="F31">IFERROR(PROCINDICE(PARENTES[#All], keyParentes, "NomeParente", 4), "------")</f>
        <v>------</v>
      </c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5" t="str" cm="1">
        <f t="array" ref="BK31">IFERROR(PROCINDICE(PARENTES[#All], keyParentes, "DataNascimentoParente", 4), "------")</f>
        <v>------</v>
      </c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4" t="str" cm="1">
        <f t="array" ref="K32">IFERROR(PROCINDICE(PARENTES[#All], keyParentes, "EscolaridadeParente", 4), "------")</f>
        <v>------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6" t="str" cm="1">
        <f t="array" ref="BE32">IFERROR(PROCINDICE(PARENTES[#All], keyParentes, "GrauParentescoParente", 4), "------")</f>
        <v>------</v>
      </c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6" t="str" cm="1">
        <f t="array" ref="F34">IFERROR(PROCINDICE(PARENTES[#All], keyParentes, "NomeParente", 5), "------")</f>
        <v>------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5" t="str" cm="1">
        <f t="array" ref="BK34">IFERROR(PROCINDICE(PARENTES[#All], keyParentes, "DataNascimentoParente", 5), "------")</f>
        <v>------</v>
      </c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4" t="str" cm="1">
        <f t="array" ref="K35">IFERROR(PROCINDICE(PARENTES[#All], keyParentes, "EscolaridadeParente", 5), "------")</f>
        <v>------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6" t="str" cm="1">
        <f t="array" ref="BE35">IFERROR(PROCINDICE(PARENTES[#All], keyParentes, "GrauParentescoParente", 5), "------")</f>
        <v>------</v>
      </c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6" t="str" cm="1">
        <f t="array" ref="F37">IFERROR(PROCINDICE(PARENTES[#All], keyParentes, "NomeParente", 6), "------")</f>
        <v>------</v>
      </c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5" t="str" cm="1">
        <f t="array" ref="BK37">IFERROR(PROCINDICE(PARENTES[#All], keyParentes, "DataNascimentoParente", 6), "------")</f>
        <v>------</v>
      </c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4" t="str" cm="1">
        <f t="array" ref="K38">IFERROR(PROCINDICE(PARENTES[#All], keyParentes, "EscolaridadeParente", 6), "------")</f>
        <v>------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6" t="str" cm="1">
        <f t="array" ref="BE38">IFERROR(PROCINDICE(PARENTES[#All], keyParentes, "GrauParentescoParente", 6), "------")</f>
        <v>------</v>
      </c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6" t="str" cm="1">
        <f t="array" ref="F40">IFERROR(PROCINDICE(PARENTES[#All], keyParentes, "NomeParente", 7), "------")</f>
        <v>------</v>
      </c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5" t="str" cm="1">
        <f t="array" ref="BK40">IFERROR(PROCINDICE(PARENTES[#All], keyParentes, "DataNascimentoParente", 7), "------")</f>
        <v>------</v>
      </c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4" t="str" cm="1">
        <f t="array" ref="K41">IFERROR(PROCINDICE(PARENTES[#All], keyParentes, "EscolaridadeParente", 7), "------")</f>
        <v>------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6" t="str" cm="1">
        <f t="array" ref="BE41">IFERROR(PROCINDICE(PARENTES[#All], keyParentes, "GrauParentescoParente", 7), "------")</f>
        <v>------</v>
      </c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43" t="s">
        <v>85</v>
      </c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2" t="s">
        <v>89</v>
      </c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</row>
    <row r="53" spans="1:77" ht="9.75" customHeight="1" x14ac:dyDescent="0.25"/>
    <row r="54" spans="1:77" x14ac:dyDescent="0.25">
      <c r="A54" t="s">
        <v>93</v>
      </c>
      <c r="J54" s="41">
        <f>IFERROR(VLOOKUP(NomeAssistido, CADASTROS[], MATCH("DataSindicancia", CADASTROS[#Headers], 0), 0), "------")</f>
        <v>45672</v>
      </c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F54" t="s">
        <v>94</v>
      </c>
      <c r="AM54" s="32" t="str">
        <f>IFERROR(VLOOKUP(NomeAssistido, CADASTROS[], MATCH("NomeVisitador", CADASTROS[#Headers], 0), 0), "------")</f>
        <v>Ana Paula Oliveira</v>
      </c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sqref="A1:A13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MENU</vt:lpstr>
      <vt:lpstr>CADASTROS</vt:lpstr>
      <vt:lpstr>ACOMPANHAMENTO</vt:lpstr>
      <vt:lpstr>TABELAS_AUXILIARES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2026-06-16T00:12:21Z</dcterms:modified>
</cp:coreProperties>
</file>