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341" documentId="14_{99C30D5E-707F-4DBC-83FD-C0930369E172}" xr6:coauthVersionLast="47" xr6:coauthVersionMax="47" xr10:uidLastSave="{C27781AE-8F55-4C48-81D1-CAE6F3435610}"/>
  <bookViews>
    <workbookView xWindow="20370" yWindow="-120" windowWidth="20730" windowHeight="11040" tabRatio="890" firstSheet="2" activeTab="7" xr2:uid="{FD1134B4-C37A-482C-B875-A4A14024FB80}"/>
  </bookViews>
  <sheets>
    <sheet name="MENU" sheetId="1" r:id="rId1"/>
    <sheet name="CADASTROS" sheetId="10" r:id="rId2"/>
    <sheet name="ASSISTIDO" sheetId="17" r:id="rId3"/>
    <sheet name="ACOMPANHAMENTO" sheetId="14" state="hidden" r:id="rId4"/>
    <sheet name="TABELAS_AUXILIARES" sheetId="16" state="hidden" r:id="rId5"/>
    <sheet name="DEPENDENTE" sheetId="5" r:id="rId6"/>
    <sheet name="DADOS_DE_TESTE" sheetId="12" state="hidden" r:id="rId7"/>
    <sheet name="GRAUS_PARENTESCO" sheetId="9" r:id="rId8"/>
    <sheet name="FICHA_CADASTRAL" sheetId="11" r:id="rId9"/>
    <sheet name="TIPO_MORADIA" sheetId="8" r:id="rId10"/>
    <sheet name="ESTADOS_CIVIS" sheetId="3" r:id="rId11"/>
    <sheet name="ESCOLARIDADES" sheetId="4" r:id="rId12"/>
    <sheet name="PROFISSOES" sheetId="6" state="hidden" r:id="rId13"/>
    <sheet name="PROGRAMAS_GOV" sheetId="7" state="hidden" r:id="rId14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35" i="11" a="1"/>
  <c r="BK25" i="11" a="1"/>
  <c r="F37" i="11" a="1"/>
  <c r="F34" i="11" a="1"/>
  <c r="K38" i="11" a="1"/>
  <c r="BE41" i="11" a="1"/>
  <c r="BK37" i="11" a="1"/>
  <c r="BE32" i="11" a="1"/>
  <c r="BK31" i="11" a="1"/>
  <c r="F25" i="11" a="1"/>
  <c r="K41" i="11" a="1"/>
  <c r="K29" i="11" a="1"/>
  <c r="K32" i="11" a="1"/>
  <c r="BK40" i="11" a="1"/>
  <c r="F22" i="11" a="1"/>
  <c r="BK22" i="11" a="1"/>
  <c r="F28" i="11" a="1"/>
  <c r="BK34" i="11" a="1"/>
  <c r="BK28" i="11" a="1"/>
  <c r="K23" i="11" a="1"/>
  <c r="F31" i="11" a="1"/>
  <c r="K26" i="11" a="1"/>
  <c r="BE26" i="11" a="1"/>
  <c r="BE38" i="11" a="1"/>
  <c r="BE23" i="11" a="1"/>
  <c r="BE29" i="11" a="1"/>
  <c r="BE35" i="11" a="1"/>
  <c r="F40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<sst xmlns="http://schemas.openxmlformats.org/spreadsheetml/2006/main" count="688" uniqueCount="250">
  <si>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</si>
  <si>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</si>
  <si>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</si>
  <si>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</si>
  <si>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</si>
  <si>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</si>
  <si>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</si>
  <si>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</si>
  <si>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</si>
  <si>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</si>
  <si>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</si>
  <si>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</si>
  <si>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</si>
  <si>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</si>
  <si>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</si>
  <si>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</si>
  <si>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</si>
  <si>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</si>
  <si>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</si>
  <si>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</si>
  <si>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</si>
  <si>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</si>
  <si>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</si>
  <si>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</si>
  <si>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</si>
  <si>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</si>
  <si>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</si>
  <si>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</si>
  <si>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</si>
  <si>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</si>
  <si>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</si>
  <si>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</si>
  <si>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</si>
  <si>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</si>
  <si>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</si>
  <si>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</si>
  <si>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</si>
  <si>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</si>
  <si>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</si>
  <si>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</si>
  <si>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</si>
  <si>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</si>
  <si>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</si>
  <si>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</si>
  <si>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</si>
  <si>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</si>
  <si>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</si>
  <si>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</si>
  <si>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</si>
  <si>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</si>
  <si>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</si>
  <si>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</si>
  <si>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</si>
  <si>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</si>
  <si>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</si>
  <si>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</si>
  <si>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</si>
  <si>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</si>
  <si>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</si>
  <si>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</si>
  <si>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</si>
  <si>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</si>
  <si>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</si>
  <si>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</si>
  <si>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</si>
  <si>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</si>
  <si>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</si>
  <si>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</si>
  <si>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</si>
  <si>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</si>
  <si>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</si>
  <si>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</si>
  <si>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</si>
  <si>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</si>
  <si>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</si>
  <si>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</si>
  <si>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</si>
  <si>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</si>
  <si>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</si>
  <si>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</si>
  <si>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</si>
  <si>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</si>
  <si>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</si>
  <si>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</si>
  <si>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</si>
  <si>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</si>
  <si>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</si>
  <si>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</si>
  <si>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</si>
  <si>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</si>
  <si>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</si>
  <si>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</si>
  <si>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</si>
  <si>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</si>
  <si>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</si>
  <si>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</si>
  <si>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</si>
  <si>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</si>
  <si>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</si>
  <si>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</si>
  <si>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</si>
  <si>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</si>
  <si>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</si>
  <si>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</si>
  <si>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</si>
  <si>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</si>
  <si>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</si>
  <si>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</si>
  <si>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</si>
  <si>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</si>
  <si>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</si>
  <si>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</si>
  <si>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</si>
  <si>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</si>
  <si>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</si>
  <si>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</si>
  <si>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</si>
  <si>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</si>
  <si>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</si>
  <si>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</si>
  <si>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</si>
  <si>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</si>
  <si>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</si>
  <si>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</si>
  <si>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</si>
  <si>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</si>
  <si>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</si>
  <si>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</si>
  <si>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</si>
  <si>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</si>
  <si>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</si>
  <si>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</si>
  <si>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</si>
  <si>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</si>
  <si>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</si>
  <si>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</si>
  <si>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</si>
  <si>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</si>
  <si>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</si>
  <si>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</si>
  <si>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</si>
  <si>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</si>
  <si>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</si>
  <si>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</si>
  <si>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</si>
  <si>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</si>
  <si>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</si>
  <si>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</si>
  <si>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</si>
  <si>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</si>
  <si>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</si>
  <si>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</si>
  <si>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</si>
  <si>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</si>
  <si>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</si>
  <si>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</si>
  <si>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</si>
  <si>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</si>
  <si>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</si>
  <si>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</si>
  <si>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</si>
  <si>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</si>
  <si>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</si>
  <si>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</si>
  <si>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</si>
  <si>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</si>
  <si>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</si>
  <si>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</si>
  <si>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</si>
  <si>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</si>
  <si>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</si>
  <si>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</si>
  <si>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</si>
  <si>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</si>
  <si>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</si>
  <si>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</si>
  <si>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</si>
  <si>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</si>
  <si>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</si>
  <si>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</si>
  <si>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</si>
  <si>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</si>
  <si>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</si>
  <si>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</si>
  <si>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</si>
  <si>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</si>
  <si>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</si>
  <si>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</si>
  <si>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</si>
  <si>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</si>
  <si>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</si>
  <si>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</si>
  <si>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</si>
  <si>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</si>
  <si>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</si>
  <si>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</si>
  <si>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</si>
  <si>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</si>
  <si>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</si>
  <si>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</si>
  <si>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</si>
  <si>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</si>
  <si>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</si>
  <si>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</si>
  <si>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</si>
  <si>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</si>
  <si>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</si>
  <si>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</si>
  <si>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</si>
  <si>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</si>
  <si>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</si>
  <si>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</si>
  <si>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</si>
  <si>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</si>
  <si>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</si>
  <si>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</si>
  <si>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</si>
  <si>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</si>
  <si>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</si>
  <si>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</si>
  <si>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</si>
  <si>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</si>
  <si>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</si>
  <si>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</si>
  <si>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</si>
  <si>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</si>
  <si>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</si>
  <si>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</si>
  <si>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</si>
  <si>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</si>
  <si>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</si>
  <si>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</si>
  <si>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</si>
  <si>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</si>
  <si>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</si>
  <si>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</si>
  <si>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</si>
  <si>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</si>
  <si>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</si>
  <si>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</si>
  <si>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</si>
  <si>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</si>
  <si>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</si>
  <si>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</si>
  <si>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</si>
  <si>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</si>
  <si>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</si>
  <si>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</si>
  <si>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Solteiro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</si>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</sst>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6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166" formatCode="m/d/yyyy"/>
    </dxf>
    <dxf>
      <numFmt numFmtId="19" formatCode="dd/mm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5"/>
    <tableColumn id="5" xr3:uid="{B8D43D59-ED48-4C7B-A7CB-4BC6F00276B6}" name="EscolaridadeAssistido" dataDxfId="24"/>
    <tableColumn id="3" xr3:uid="{BBD7AEEE-7467-498B-9833-818012324219}" name="EstadoCivilAssistido"/>
    <tableColumn id="4" xr3:uid="{6E83ECC9-743F-4E8A-9B3F-CF4242EBBED1}" name="Profissao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3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2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H3" totalsRowShown="0" headerRowDxfId="21" tableBorderDxfId="20">
  <autoFilter ref="A1:H3" xr:uid="{62AD8F14-0E48-4C00-BA1C-7419B5760F8F}"/>
  <tableColumns count="8">
    <tableColumn id="1" xr3:uid="{07F7DA2C-132C-43BD-B460-223FA39A547D}" name="Key"/>
    <tableColumn id="8" xr3:uid="{DF3A2E35-122A-4721-A3E7-C827DCE5095B}" name="NomeAssistido"/>
    <tableColumn id="2" xr3:uid="{54C84201-E9B0-4564-9FFA-7DA6AA323E86}" name="DataNascimentoAssistido"/>
    <tableColumn id="3" xr3:uid="{A86A5D1A-D995-41F0-A8EB-E96D6E0EA4B9}" name="EscolaridadeAssistido"/>
    <tableColumn id="4" xr3:uid="{D675165B-A113-44FE-8DFB-9AC43903F7C4}" name="EstadoCivilAssistido"/>
    <tableColumn id="5" xr3:uid="{5F5E0CBD-289B-4A48-B68A-1858D34ABA6B}" name="ProfissaoAssistido"/>
    <tableColumn id="6" xr3:uid="{CB2E7D23-2597-40B2-8F9E-A2F456636BAD}" name="CPFAssistido"/>
    <tableColumn id="7" xr3:uid="{71FE4E14-8818-4130-89B9-1A975D9E7CA2}" name="TelefoneAssistido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9"/>
    <tableColumn id="8" xr3:uid="{3692651C-4D8A-4D18-820D-0CA629F413D1}" name="Jan" dataDxfId="18"/>
    <tableColumn id="9" xr3:uid="{1DA296C9-3C1F-4105-8AE6-2BCCFEDE2175}" name="Fev" dataDxfId="17"/>
    <tableColumn id="10" xr3:uid="{0D5481BA-3AE5-4172-922E-5321CD923C4C}" name="Mar" dataDxfId="16"/>
    <tableColumn id="11" xr3:uid="{43CDB5DF-2E1F-421B-9EC5-8F93F8DACAF5}" name="Abr" dataDxfId="15"/>
    <tableColumn id="12" xr3:uid="{D04A26DD-1318-4208-A1CB-279726E45685}" name="Mai" dataDxfId="14"/>
    <tableColumn id="13" xr3:uid="{E55555DD-9B07-4803-A857-C45478AD72CD}" name="Jun" dataDxfId="13"/>
    <tableColumn id="1" xr3:uid="{F8558262-87C2-43E0-A48C-159BB14311B5}" name="Jul" dataDxfId="12"/>
    <tableColumn id="3" xr3:uid="{DA358C54-86DB-4661-BEC3-EEDA75D2B78D}" name="Ago" dataDxfId="11"/>
    <tableColumn id="4" xr3:uid="{598C98A8-FA82-450B-BF95-189DFBD5D463}" name="Set" dataDxfId="10"/>
    <tableColumn id="5" xr3:uid="{81622C4F-6124-4E72-B2B0-5659AB4ACA48}" name="Out" dataDxfId="9"/>
    <tableColumn id="6" xr3:uid="{D4C17119-76C7-4B0E-A518-41F9972E3162}" name="Nov" dataDxfId="8"/>
    <tableColumn id="7" xr3:uid="{02524F18-A8AF-410A-AEC1-7E0751B0E45A}" name="Dez" dataDxfId="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7" totalsRowShown="0">
  <autoFilter ref="A1:F37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6"/>
    <tableColumn id="5" xr3:uid="{7937C30B-6471-4FB4-96E2-EBA4EC0D6A05}" name="KeyEscolaridade" dataDxfId="5"/>
    <tableColumn id="3" xr3:uid="{56466016-BC3B-4F3B-9119-C6EDB4737E88}" name="KeyParentesco" dataDxfId="4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239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8"/>
      <c r="W1" s="18"/>
      <c r="X1" s="19"/>
      <c r="Y1" s="19"/>
      <c r="Z1" s="19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8"/>
      <c r="W2" s="18"/>
      <c r="X2" s="19"/>
      <c r="Y2" s="19"/>
      <c r="Z2" s="19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8"/>
      <c r="W3" s="18"/>
      <c r="X3" s="19"/>
      <c r="Y3" s="19"/>
      <c r="Z3" s="19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8"/>
      <c r="W4" s="18"/>
      <c r="X4" s="19"/>
      <c r="Y4" s="19"/>
      <c r="Z4" s="19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8"/>
      <c r="W5" s="18"/>
      <c r="X5" s="19"/>
      <c r="Y5" s="19"/>
      <c r="Z5" s="19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8"/>
      <c r="W6" s="18"/>
      <c r="X6" s="19"/>
      <c r="Y6" s="19"/>
      <c r="Z6" s="19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8"/>
      <c r="W7" s="18"/>
      <c r="X7" s="19"/>
      <c r="Y7" s="19"/>
      <c r="Z7" s="19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workbookViewId="0">
      <selection activeCell="F8" sqref="F8:G8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47</v>
      </c>
      <c r="D1" t="s">
        <v>45</v>
      </c>
      <c r="E1" t="s">
        <v>46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11</v>
      </c>
      <c r="D2" t="s">
        <v>1</v>
      </c>
      <c r="E2" t="s">
        <v>130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11</v>
      </c>
      <c r="D3" t="s">
        <v>1</v>
      </c>
      <c r="E3" t="s">
        <v>158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10</v>
      </c>
      <c r="D4" t="s">
        <v>2</v>
      </c>
      <c r="E4" t="s">
        <v>224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10</v>
      </c>
      <c r="D5" t="s">
        <v>2</v>
      </c>
      <c r="E5" t="s">
        <v>152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8</v>
      </c>
      <c r="D6" t="s">
        <v>1</v>
      </c>
      <c r="E6" t="s">
        <v>107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9</v>
      </c>
      <c r="D7" t="s">
        <v>1</v>
      </c>
      <c r="E7" t="s">
        <v>117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11</v>
      </c>
      <c r="D8" t="s">
        <v>5</v>
      </c>
      <c r="E8" t="s">
        <v>117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11</v>
      </c>
      <c r="D9" t="s">
        <v>4</v>
      </c>
      <c r="E9" t="s">
        <v>139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8</v>
      </c>
      <c r="D10" t="s">
        <v>5</v>
      </c>
      <c r="E10" t="s">
        <v>147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H3"/>
  <sheetViews>
    <sheetView workbookViewId="0">
      <selection activeCell="E10" sqref="E10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6" t="s">
        <v>249</v>
      </c>
      <c r="B1" s="26" t="s">
        <v>43</v>
      </c>
      <c r="C1" s="27" t="s">
        <v>44</v>
      </c>
      <c r="D1" s="27" t="s">
        <v>47</v>
      </c>
      <c r="E1" s="27" t="s">
        <v>45</v>
      </c>
      <c r="F1" s="27" t="s">
        <v>46</v>
      </c>
      <c r="G1" s="27" t="s">
        <v>48</v>
      </c>
      <c r="H1" s="27" t="s">
        <v>49</v>
      </c>
    </row>
    <row r="2" spans="1:8" x14ac:dyDescent="0.25">
      <c r="A2">
        <v>1</v>
      </c>
      <c r="B2" t="s">
        <v>157</v>
      </c>
      <c r="C2" s="1">
        <v>29368</v>
      </c>
      <c r="D2">
        <v>6</v>
      </c>
      <c r="E2" t="s">
        <v>248</v>
      </c>
      <c r="F2" t="s">
        <v>24</v>
      </c>
      <c r="G2" t="s">
        <v>210</v>
      </c>
      <c r="H2" t="s">
        <v>118</v>
      </c>
    </row>
    <row r="3" spans="1:8" x14ac:dyDescent="0.25">
      <c r="A3">
        <v>2</v>
      </c>
      <c r="B3" t="s">
        <v>247</v>
      </c>
      <c r="C3" s="1">
        <v>24659</v>
      </c>
      <c r="D3">
        <v>6</v>
      </c>
      <c r="E3" t="s">
        <v>248</v>
      </c>
      <c r="F3" t="s">
        <v>24</v>
      </c>
      <c r="G3">
        <v>11897630803</v>
      </c>
      <c r="H3">
        <v>31956735208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7"/>
  <sheetViews>
    <sheetView topLeftCell="A19" workbookViewId="0">
      <selection activeCell="F36" sqref="A36:F36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249</v>
      </c>
      <c r="B1" t="s">
        <v>65</v>
      </c>
      <c r="C1" t="s">
        <v>63</v>
      </c>
      <c r="D1" s="17" t="s">
        <v>244</v>
      </c>
      <c r="E1" s="17" t="s">
        <v>245</v>
      </c>
      <c r="F1" t="s">
        <v>246</v>
      </c>
    </row>
    <row r="2" spans="1:6" x14ac:dyDescent="0.25">
      <c r="A2">
        <v>1</v>
      </c>
      <c r="B2" t="s">
        <v>176</v>
      </c>
      <c r="C2" s="1">
        <v>38482</v>
      </c>
      <c r="D2" s="17" t="s">
        <v>10</v>
      </c>
      <c r="E2" s="17" t="s">
        <v>33</v>
      </c>
    </row>
    <row r="3" spans="1:6" x14ac:dyDescent="0.25">
      <c r="A3">
        <v>2</v>
      </c>
      <c r="B3" t="s">
        <v>177</v>
      </c>
      <c r="C3" s="1">
        <v>39682</v>
      </c>
      <c r="D3" s="17" t="s">
        <v>9</v>
      </c>
      <c r="E3" s="17" t="s">
        <v>33</v>
      </c>
    </row>
    <row r="4" spans="1:6" x14ac:dyDescent="0.25">
      <c r="A4">
        <v>3</v>
      </c>
      <c r="B4" t="s">
        <v>178</v>
      </c>
      <c r="C4" s="1">
        <v>40922</v>
      </c>
      <c r="D4" s="17" t="s">
        <v>8</v>
      </c>
      <c r="E4" s="17" t="s">
        <v>33</v>
      </c>
    </row>
    <row r="5" spans="1:6" x14ac:dyDescent="0.25">
      <c r="A5">
        <v>4</v>
      </c>
      <c r="B5" t="s">
        <v>183</v>
      </c>
      <c r="C5" s="1">
        <v>36689</v>
      </c>
      <c r="D5" s="17" t="s">
        <v>11</v>
      </c>
      <c r="E5" s="17" t="s">
        <v>33</v>
      </c>
    </row>
    <row r="6" spans="1:6" x14ac:dyDescent="0.25">
      <c r="A6">
        <v>5</v>
      </c>
      <c r="B6" t="s">
        <v>184</v>
      </c>
      <c r="C6" s="1">
        <v>37871</v>
      </c>
      <c r="D6" s="17" t="s">
        <v>10</v>
      </c>
      <c r="E6" s="17" t="s">
        <v>33</v>
      </c>
    </row>
    <row r="7" spans="1:6" x14ac:dyDescent="0.25">
      <c r="A7">
        <v>6</v>
      </c>
      <c r="B7" t="s">
        <v>185</v>
      </c>
      <c r="C7" s="1">
        <v>39446</v>
      </c>
      <c r="D7" s="17" t="s">
        <v>9</v>
      </c>
      <c r="E7" s="17" t="s">
        <v>33</v>
      </c>
    </row>
    <row r="8" spans="1:6" x14ac:dyDescent="0.25">
      <c r="A8">
        <v>7</v>
      </c>
      <c r="B8" t="s">
        <v>186</v>
      </c>
      <c r="C8" s="1">
        <v>40252</v>
      </c>
      <c r="D8" s="17" t="s">
        <v>8</v>
      </c>
      <c r="E8" s="17" t="s">
        <v>33</v>
      </c>
    </row>
    <row r="9" spans="1:6" x14ac:dyDescent="0.25">
      <c r="A9">
        <v>8</v>
      </c>
      <c r="B9" t="s">
        <v>187</v>
      </c>
      <c r="C9" s="1">
        <v>39489</v>
      </c>
      <c r="D9" s="17" t="s">
        <v>8</v>
      </c>
      <c r="E9" s="17" t="s">
        <v>33</v>
      </c>
    </row>
    <row r="10" spans="1:6" x14ac:dyDescent="0.25">
      <c r="A10">
        <v>9</v>
      </c>
      <c r="B10" t="s">
        <v>188</v>
      </c>
      <c r="C10" s="1">
        <v>40722</v>
      </c>
      <c r="D10" s="17" t="s">
        <v>8</v>
      </c>
      <c r="E10" s="17" t="s">
        <v>33</v>
      </c>
    </row>
    <row r="11" spans="1:6" x14ac:dyDescent="0.25">
      <c r="A11">
        <v>10</v>
      </c>
      <c r="B11" t="s">
        <v>189</v>
      </c>
      <c r="C11" s="1">
        <v>31152</v>
      </c>
      <c r="D11" s="17" t="s">
        <v>12</v>
      </c>
      <c r="E11" s="17" t="s">
        <v>33</v>
      </c>
    </row>
    <row r="12" spans="1:6" x14ac:dyDescent="0.25">
      <c r="A12">
        <v>11</v>
      </c>
      <c r="B12" t="s">
        <v>190</v>
      </c>
      <c r="C12" s="1">
        <v>32347</v>
      </c>
      <c r="D12" s="17" t="s">
        <v>14</v>
      </c>
      <c r="E12" s="17" t="s">
        <v>33</v>
      </c>
    </row>
    <row r="13" spans="1:6" x14ac:dyDescent="0.25">
      <c r="A13">
        <v>12</v>
      </c>
      <c r="B13" t="s">
        <v>191</v>
      </c>
      <c r="C13" s="1">
        <v>40461</v>
      </c>
      <c r="D13" s="17" t="s">
        <v>8</v>
      </c>
      <c r="E13" s="17" t="s">
        <v>34</v>
      </c>
    </row>
    <row r="14" spans="1:6" x14ac:dyDescent="0.25">
      <c r="A14">
        <v>13</v>
      </c>
      <c r="B14" t="s">
        <v>192</v>
      </c>
      <c r="C14" s="1">
        <v>36057</v>
      </c>
      <c r="D14" s="17">
        <v>5</v>
      </c>
      <c r="E14" s="17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7">
        <v>8</v>
      </c>
      <c r="E15" s="17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7">
        <v>2</v>
      </c>
      <c r="E16" s="17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7">
        <v>10</v>
      </c>
      <c r="E17" s="17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7" t="s">
        <v>9</v>
      </c>
      <c r="E18" s="17" t="s">
        <v>33</v>
      </c>
    </row>
    <row r="19" spans="1:6" x14ac:dyDescent="0.25">
      <c r="A19">
        <v>18</v>
      </c>
      <c r="B19" t="s">
        <v>197</v>
      </c>
      <c r="C19" s="1">
        <v>40574</v>
      </c>
      <c r="D19" s="17" t="s">
        <v>8</v>
      </c>
      <c r="E19" s="17" t="s">
        <v>33</v>
      </c>
    </row>
    <row r="20" spans="1:6" x14ac:dyDescent="0.25">
      <c r="A20">
        <v>19</v>
      </c>
      <c r="B20" t="s">
        <v>198</v>
      </c>
      <c r="C20" s="1">
        <v>20242</v>
      </c>
      <c r="D20" s="17" t="s">
        <v>8</v>
      </c>
      <c r="E20" s="17" t="s">
        <v>36</v>
      </c>
    </row>
    <row r="21" spans="1:6" x14ac:dyDescent="0.25">
      <c r="A21">
        <v>20</v>
      </c>
      <c r="B21" t="s">
        <v>199</v>
      </c>
      <c r="C21" s="1">
        <v>26613</v>
      </c>
      <c r="D21" s="17" t="s">
        <v>11</v>
      </c>
      <c r="E21" s="17" t="s">
        <v>33</v>
      </c>
    </row>
    <row r="22" spans="1:6" x14ac:dyDescent="0.25">
      <c r="A22">
        <v>21</v>
      </c>
      <c r="B22" t="s">
        <v>200</v>
      </c>
      <c r="C22" s="1">
        <v>34867</v>
      </c>
      <c r="D22" s="17" t="s">
        <v>12</v>
      </c>
      <c r="E22" s="17" t="s">
        <v>34</v>
      </c>
    </row>
    <row r="23" spans="1:6" x14ac:dyDescent="0.25">
      <c r="A23">
        <v>22</v>
      </c>
      <c r="B23" t="s">
        <v>201</v>
      </c>
      <c r="C23" s="1">
        <v>36042</v>
      </c>
      <c r="D23" s="17" t="s">
        <v>13</v>
      </c>
      <c r="E23" s="17" t="s">
        <v>34</v>
      </c>
    </row>
    <row r="24" spans="1:6" x14ac:dyDescent="0.25">
      <c r="A24">
        <v>23</v>
      </c>
      <c r="B24" t="s">
        <v>202</v>
      </c>
      <c r="C24" s="1">
        <v>43144</v>
      </c>
      <c r="D24" s="17" t="s">
        <v>7</v>
      </c>
      <c r="E24" s="17" t="s">
        <v>35</v>
      </c>
    </row>
    <row r="25" spans="1:6" x14ac:dyDescent="0.25">
      <c r="A25">
        <v>24</v>
      </c>
      <c r="B25" t="s">
        <v>203</v>
      </c>
      <c r="C25" s="1">
        <v>11441</v>
      </c>
      <c r="D25" s="17" t="s">
        <v>7</v>
      </c>
      <c r="E25" s="17" t="s">
        <v>37</v>
      </c>
    </row>
    <row r="26" spans="1:6" x14ac:dyDescent="0.25">
      <c r="A26">
        <v>25</v>
      </c>
      <c r="B26" t="s">
        <v>179</v>
      </c>
      <c r="C26" s="1">
        <v>42066</v>
      </c>
      <c r="D26" s="17">
        <v>4</v>
      </c>
      <c r="E26" s="17">
        <v>8</v>
      </c>
      <c r="F26">
        <v>1</v>
      </c>
    </row>
    <row r="27" spans="1:6" x14ac:dyDescent="0.25">
      <c r="A27">
        <v>26</v>
      </c>
      <c r="B27" t="s">
        <v>179</v>
      </c>
      <c r="C27" s="1">
        <v>34761</v>
      </c>
      <c r="D27" s="17">
        <v>10</v>
      </c>
      <c r="E27" s="17">
        <v>11</v>
      </c>
      <c r="F27">
        <v>1</v>
      </c>
    </row>
    <row r="28" spans="1:6" x14ac:dyDescent="0.25">
      <c r="A28">
        <v>27</v>
      </c>
      <c r="B28" t="s">
        <v>180</v>
      </c>
      <c r="C28" s="1">
        <v>40377</v>
      </c>
      <c r="D28" s="17" t="s">
        <v>8</v>
      </c>
      <c r="E28" s="17" t="s">
        <v>33</v>
      </c>
    </row>
    <row r="29" spans="1:6" x14ac:dyDescent="0.25">
      <c r="A29">
        <v>28</v>
      </c>
      <c r="B29" t="s">
        <v>181</v>
      </c>
      <c r="C29" s="1">
        <v>41603</v>
      </c>
      <c r="D29" s="17" t="s">
        <v>8</v>
      </c>
      <c r="E29" s="17" t="s">
        <v>33</v>
      </c>
    </row>
    <row r="30" spans="1:6" x14ac:dyDescent="0.25">
      <c r="A30">
        <v>29</v>
      </c>
      <c r="B30" t="s">
        <v>182</v>
      </c>
      <c r="C30" s="1">
        <v>42462</v>
      </c>
      <c r="D30" s="17" t="s">
        <v>7</v>
      </c>
      <c r="E30" s="17" t="s">
        <v>33</v>
      </c>
    </row>
    <row r="31" spans="1:6" x14ac:dyDescent="0.25">
      <c r="A31">
        <v>30</v>
      </c>
      <c r="B31" t="s">
        <v>243</v>
      </c>
      <c r="C31" s="1">
        <v>35533</v>
      </c>
      <c r="D31" s="17" t="s">
        <v>11</v>
      </c>
      <c r="E31" s="17" t="s">
        <v>33</v>
      </c>
    </row>
    <row r="32" spans="1:6" x14ac:dyDescent="0.25">
      <c r="A32">
        <v>31</v>
      </c>
      <c r="B32" t="s">
        <v>243</v>
      </c>
      <c r="C32" s="1">
        <v>35533</v>
      </c>
      <c r="D32" s="17" t="s">
        <v>11</v>
      </c>
      <c r="E32" s="17" t="s">
        <v>33</v>
      </c>
    </row>
    <row r="33" spans="1:6" x14ac:dyDescent="0.25">
      <c r="A33">
        <v>32</v>
      </c>
      <c r="B33" t="s">
        <v>243</v>
      </c>
      <c r="C33" s="1">
        <v>35533</v>
      </c>
      <c r="D33" s="17">
        <v>5</v>
      </c>
      <c r="E33" s="17">
        <v>1</v>
      </c>
    </row>
    <row r="34" spans="1:6" x14ac:dyDescent="0.25">
      <c r="A34">
        <v>33</v>
      </c>
      <c r="B34" t="s">
        <v>243</v>
      </c>
      <c r="C34" s="1">
        <v>36221</v>
      </c>
      <c r="D34" s="17">
        <v>4</v>
      </c>
      <c r="E34" s="17">
        <v>8</v>
      </c>
      <c r="F34">
        <v>1</v>
      </c>
    </row>
    <row r="35" spans="1:6" x14ac:dyDescent="0.25">
      <c r="A35">
        <v>34</v>
      </c>
      <c r="B35" t="s">
        <v>243</v>
      </c>
      <c r="C35" s="1">
        <v>36221</v>
      </c>
      <c r="D35" s="17">
        <v>4</v>
      </c>
      <c r="E35" s="17">
        <v>8</v>
      </c>
      <c r="F35">
        <v>2</v>
      </c>
    </row>
    <row r="36" spans="1:6" x14ac:dyDescent="0.25">
      <c r="A36">
        <v>35</v>
      </c>
      <c r="B36" t="s">
        <v>243</v>
      </c>
      <c r="C36" s="1">
        <v>35533</v>
      </c>
      <c r="D36" s="17">
        <v>5</v>
      </c>
      <c r="E36" s="17">
        <v>1</v>
      </c>
      <c r="F36">
        <v>0</v>
      </c>
    </row>
    <row r="37" spans="1:6" x14ac:dyDescent="0.25">
      <c r="A37">
        <v>36</v>
      </c>
      <c r="B37" t="s">
        <v>243</v>
      </c>
      <c r="C37" s="1">
        <v>35533</v>
      </c>
      <c r="D37" s="17">
        <v>5</v>
      </c>
      <c r="E37" s="17">
        <v>1</v>
      </c>
      <c r="F37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tabSelected="1"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>
        <f>IFERROR(VLOOKUP(NomeAssistido,CADASTROS[],MATCH("DataNascimentoAssistido",CADASTROS[#Headers],0),0), "------")</f>
        <v>21537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Casado(a)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Aposentado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Ensino Fundamental Completo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Marlene Gomes Silva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>
        <f>IFERROR(VLOOKUP(NomeAssistido, CADASTROS[], MATCH("DataNascimentoConjuge", CADASTROS[#Headers], 0), 0), "------")</f>
        <v>22549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Casado(a)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Aposentada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Ensino Fundamental Incompleto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Própria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>
        <f>IFERROR(VLOOKUP(NomeAssistido, CADASTROS[], MATCH("NPessoas", CADASTROS[#Headers], 0), 0), "------")</f>
        <v>3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Carlos Costa Pereira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30/12/2007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>
        <f>IFERROR(VLOOKUP(NomeAssistido, CADASTROS[], MATCH("DataSindicancia", CADASTROS[#Headers], 0), 0), "------")</f>
        <v>45672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Ana Paula Oliveira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9</vt:i4>
      </vt:variant>
    </vt:vector>
  </HeadingPairs>
  <TitlesOfParts>
    <vt:vector size="23" baseType="lpstr">
      <vt:lpstr>MENU</vt:lpstr>
      <vt:lpstr>CADASTROS</vt:lpstr>
      <vt:lpstr>ASSISTIDO</vt:lpstr>
      <vt:lpstr>ACOMPANHAMENTO</vt:lpstr>
      <vt:lpstr>TABELAS_AUXILIARES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2026-06-16T19:12:40Z</dcterms:modified>
</cp:coreProperties>
</file>