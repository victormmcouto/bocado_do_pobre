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235" documentId="8_{4D8E80CC-674F-4C25-B921-617157F312F2}" xr6:coauthVersionLast="47" xr6:coauthVersionMax="47" xr10:uidLastSave="{4EBED73C-825C-4C67-805F-26BB64AF8385}"/>
  <bookViews>
    <workbookView xWindow="-120" yWindow="-120" windowWidth="20730" windowHeight="11040" tabRatio="890" activeTab="2" xr2:uid="{FD1134B4-C37A-482C-B875-A4A14024FB80}"/>
  </bookViews>
  <sheets>
    <sheet name="MENU" sheetId="1" r:id="rId1"/>
    <sheet name="CADASTROS" sheetId="10" state="hidden" r:id="rId2"/>
    <sheet name="ACOMPANHAMENTO" sheetId="14" r:id="rId3"/>
    <sheet name="PARENTES" sheetId="5" state="hidden" r:id="rId4"/>
    <sheet name="DADOS_DE_TESTE" sheetId="12" state="hidden" r:id="rId5"/>
    <sheet name="FICHA_CADASTRAL" sheetId="11" state="hidden" r:id="rId6"/>
    <sheet name="GRAUS_PARENTESCO" sheetId="9" state="hidden" r:id="rId7"/>
    <sheet name="TIPO_MORADIA" sheetId="8" state="hidden" r:id="rId8"/>
    <sheet name="ESTADOS_CIVIS" sheetId="3" state="hidden" r:id="rId9"/>
    <sheet name="ESCOLARIDADES" sheetId="4" state="hidden" r:id="rId10"/>
    <sheet name="PROFISSOES" sheetId="6" state="hidden" r:id="rId11"/>
    <sheet name="PROGRAMAS_GOV" sheetId="7" state="hidden" r:id="rId12"/>
  </sheets>
  <functionGroups builtInGroupCount="19"/>
  <definedNames>
    <definedName name="_xleta.IF" hidden="1" xlm="1">#NAME?</definedName>
    <definedName name="CamposParentesDocumento">FICHA_CADASTRAL!$A$24:$BY$25</definedName>
    <definedName name="Espaco1">FICHA_CADASTRAL!$A$24</definedName>
    <definedName name="Espaco2">FICHA_CADASTRAL!$A$27</definedName>
    <definedName name="Espaco3">FICHA_CADASTRAL!$A$30</definedName>
    <definedName name="Espaco4">FICHA_CADASTRAL!$A$33</definedName>
    <definedName name="Espaco5">FICHA_CADASTRAL!$A$36</definedName>
    <definedName name="Espaco6">FICHA_CADASTRAL!$A$39</definedName>
    <definedName name="Espaco7">FICHA_CADASTRAL!$A$42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14" i="11" l="1"/>
  <c r="E14" i="11"/>
  <c r="AX13" i="11"/>
  <c r="I13" i="11"/>
  <c r="AW12" i="11"/>
  <c r="P12" i="11"/>
  <c r="F11" i="11"/>
  <c r="AM54" i="11"/>
  <c r="J54" i="11"/>
  <c r="BP22" i="11"/>
  <c r="M22" i="11"/>
  <c r="F18" i="11"/>
  <c r="AC20" i="11"/>
  <c r="AJ20" i="11" s="1"/>
  <c r="AL17" i="11"/>
  <c r="AS17" i="11" s="1"/>
  <c r="AU8" i="11"/>
  <c r="E8" i="11"/>
  <c r="AX7" i="11"/>
  <c r="I7" i="11"/>
  <c r="AW6" i="11"/>
  <c r="P6" i="11"/>
  <c r="BK42" i="11" a="1"/>
  <c r="BE43" i="11" a="1"/>
  <c r="F30" i="11" a="1"/>
  <c r="BE37" i="11" a="1"/>
  <c r="BE28" i="11" a="1"/>
  <c r="K25" i="11" a="1"/>
  <c r="K43" i="11" a="1"/>
  <c r="F39" i="11" a="1"/>
  <c r="BK24" i="11" a="1"/>
  <c r="K34" i="11" a="1"/>
  <c r="K28" i="11" a="1"/>
  <c r="K40" i="11" a="1"/>
  <c r="F27" i="11" a="1"/>
  <c r="F24" i="11" a="1"/>
  <c r="BE34" i="11" a="1"/>
  <c r="BE31" i="11" a="1"/>
  <c r="BK27" i="11" a="1"/>
  <c r="BK30" i="11" a="1"/>
  <c r="F33" i="11" a="1"/>
  <c r="K31" i="11" a="1"/>
  <c r="F36" i="11" a="1"/>
  <c r="K37" i="11" a="1"/>
  <c r="BE40" i="11" a="1"/>
  <c r="BK36" i="11" a="1"/>
  <c r="BE25" i="11" a="1"/>
  <c r="BK39" i="11" a="1"/>
  <c r="F42" i="11" a="1"/>
  <c r="BK33" i="11" a="1"/>
  <c r="K43" i="11" l="1"/>
  <c r="BE43" i="11"/>
  <c r="BK42" i="11"/>
  <c r="F42" i="11"/>
  <c r="BE40" i="11"/>
  <c r="BK39" i="11"/>
  <c r="K40" i="11"/>
  <c r="F39" i="11"/>
  <c r="K37" i="11"/>
  <c r="BE37" i="11"/>
  <c r="BK36" i="11"/>
  <c r="F36" i="11"/>
  <c r="BE34" i="11"/>
  <c r="BK33" i="11"/>
  <c r="K34" i="11"/>
  <c r="F33" i="11"/>
  <c r="BE31" i="11"/>
  <c r="K31" i="11"/>
  <c r="BK30" i="11"/>
  <c r="F30" i="11"/>
  <c r="BE28" i="11"/>
  <c r="BK27" i="11"/>
  <c r="K28" i="11"/>
  <c r="F27" i="11"/>
  <c r="BE25" i="11"/>
  <c r="K25" i="11"/>
  <c r="BK24" i="11"/>
  <c r="F24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<sst xmlns="http://schemas.openxmlformats.org/spreadsheetml/2006/main" count="657" uniqueCount="240">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</sst>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2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1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0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19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8"/>
    <tableColumn id="8" xr3:uid="{3692651C-4D8A-4D18-820D-0CA629F413D1}" name="Jan" dataDxfId="17"/>
    <tableColumn id="9" xr3:uid="{1DA296C9-3C1F-4105-8AE6-2BCCFEDE2175}" name="Fev" dataDxfId="16"/>
    <tableColumn id="10" xr3:uid="{0D5481BA-3AE5-4172-922E-5321CD923C4C}" name="Mar" dataDxfId="15"/>
    <tableColumn id="11" xr3:uid="{43CDB5DF-2E1F-421B-9EC5-8F93F8DACAF5}" name="Abr" dataDxfId="14"/>
    <tableColumn id="12" xr3:uid="{D04A26DD-1318-4208-A1CB-279726E45685}" name="Mai" dataDxfId="13"/>
    <tableColumn id="13" xr3:uid="{E55555DD-9B07-4803-A857-C45478AD72CD}" name="Jun" dataDxfId="12"/>
    <tableColumn id="1" xr3:uid="{F8558262-87C2-43E0-A48C-159BB14311B5}" name="Jul" dataDxfId="11"/>
    <tableColumn id="3" xr3:uid="{DA358C54-86DB-4661-BEC3-EEDA75D2B78D}" name="Ago" dataDxfId="10"/>
    <tableColumn id="4" xr3:uid="{598C98A8-FA82-450B-BF95-189DFBD5D463}" name="Set" dataDxfId="9"/>
    <tableColumn id="5" xr3:uid="{81622C4F-6124-4E72-B2B0-5659AB4ACA48}" name="Out" dataDxfId="8"/>
    <tableColumn id="6" xr3:uid="{D4C17119-76C7-4B0E-A518-41F9972E3162}" name="Nov" dataDxfId="7"/>
    <tableColumn id="7" xr3:uid="{02524F18-A8AF-410A-AEC1-7E0751B0E45A}" name="Dez" dataDxfId="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A10" sqref="A10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0" t="e" vm="1">
        <v>#VALUE!</v>
      </c>
      <c r="B1" s="20"/>
      <c r="C1" s="20"/>
      <c r="D1" s="21" t="s">
        <v>239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18"/>
      <c r="W1" s="18"/>
      <c r="X1" s="19"/>
      <c r="Y1" s="19"/>
      <c r="Z1" s="19"/>
    </row>
    <row r="2" spans="1:26" x14ac:dyDescent="0.25">
      <c r="A2" s="20"/>
      <c r="B2" s="20"/>
      <c r="C2" s="20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18"/>
      <c r="W2" s="18"/>
      <c r="X2" s="19"/>
      <c r="Y2" s="19"/>
      <c r="Z2" s="19"/>
    </row>
    <row r="3" spans="1:26" x14ac:dyDescent="0.25">
      <c r="A3" s="20"/>
      <c r="B3" s="20"/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18"/>
      <c r="W3" s="18"/>
      <c r="X3" s="19"/>
      <c r="Y3" s="19"/>
      <c r="Z3" s="19"/>
    </row>
    <row r="4" spans="1:26" x14ac:dyDescent="0.25">
      <c r="A4" s="20"/>
      <c r="B4" s="20"/>
      <c r="C4" s="20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8"/>
      <c r="W4" s="18"/>
      <c r="X4" s="19"/>
      <c r="Y4" s="19"/>
      <c r="Z4" s="19"/>
    </row>
    <row r="5" spans="1:26" x14ac:dyDescent="0.25">
      <c r="A5" s="20"/>
      <c r="B5" s="20"/>
      <c r="C5" s="20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18"/>
      <c r="W5" s="18"/>
      <c r="X5" s="19"/>
      <c r="Y5" s="19"/>
      <c r="Z5" s="19"/>
    </row>
    <row r="6" spans="1:26" x14ac:dyDescent="0.25">
      <c r="A6" s="20"/>
      <c r="B6" s="20"/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18"/>
      <c r="W6" s="18"/>
      <c r="X6" s="19"/>
      <c r="Y6" s="19"/>
      <c r="Z6" s="19"/>
    </row>
    <row r="7" spans="1:26" x14ac:dyDescent="0.25">
      <c r="A7" s="20"/>
      <c r="B7" s="20"/>
      <c r="C7" s="20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18"/>
      <c r="W7" s="18"/>
      <c r="X7" s="19"/>
      <c r="Y7" s="19"/>
      <c r="Z7" s="19"/>
    </row>
    <row r="8" spans="1:26" x14ac:dyDescent="0.25">
      <c r="A8" s="20"/>
      <c r="B8" s="20"/>
      <c r="C8" s="20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19"/>
      <c r="W8" s="19"/>
      <c r="X8" s="19"/>
      <c r="Y8" s="19"/>
      <c r="Z8" s="19"/>
    </row>
    <row r="9" spans="1:26" x14ac:dyDescent="0.25"/>
    <row r="10" spans="1:26" x14ac:dyDescent="0.25"/>
    <row r="11" spans="1:26" x14ac:dyDescent="0.25"/>
    <row r="12" spans="1:26" x14ac:dyDescent="0.25"/>
    <row r="13" spans="1:26" x14ac:dyDescent="0.25"/>
    <row r="14" spans="1:26" x14ac:dyDescent="0.25"/>
    <row r="15" spans="1:26" x14ac:dyDescent="0.25"/>
    <row r="16" spans="1:2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workbookViewId="0">
      <selection activeCell="D8" sqref="D8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tabSelected="1" workbookViewId="0">
      <selection activeCell="I7" sqref="I7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0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0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0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topLeftCell="A13" workbookViewId="0">
      <selection activeCell="D12" sqref="D12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64</v>
      </c>
      <c r="D1" t="s">
        <v>63</v>
      </c>
      <c r="E1" t="s">
        <v>62</v>
      </c>
    </row>
    <row r="2" spans="1:5" x14ac:dyDescent="0.25">
      <c r="A2">
        <v>1</v>
      </c>
      <c r="B2" t="s">
        <v>176</v>
      </c>
      <c r="C2" s="1" t="s">
        <v>33</v>
      </c>
      <c r="D2" s="1">
        <v>38482</v>
      </c>
      <c r="E2" t="s">
        <v>10</v>
      </c>
    </row>
    <row r="3" spans="1:5" x14ac:dyDescent="0.25">
      <c r="A3">
        <v>1</v>
      </c>
      <c r="B3" t="s">
        <v>177</v>
      </c>
      <c r="C3" t="s">
        <v>33</v>
      </c>
      <c r="D3" s="1">
        <v>39682</v>
      </c>
      <c r="E3" t="s">
        <v>9</v>
      </c>
    </row>
    <row r="4" spans="1:5" x14ac:dyDescent="0.25">
      <c r="A4">
        <v>1</v>
      </c>
      <c r="B4" t="s">
        <v>178</v>
      </c>
      <c r="C4" t="s">
        <v>33</v>
      </c>
      <c r="D4" s="1">
        <v>40922</v>
      </c>
      <c r="E4" t="s">
        <v>8</v>
      </c>
    </row>
    <row r="5" spans="1:5" x14ac:dyDescent="0.25">
      <c r="A5">
        <v>4</v>
      </c>
      <c r="B5" t="s">
        <v>183</v>
      </c>
      <c r="C5" t="s">
        <v>33</v>
      </c>
      <c r="D5" s="1">
        <v>36689</v>
      </c>
      <c r="E5" t="s">
        <v>11</v>
      </c>
    </row>
    <row r="6" spans="1:5" x14ac:dyDescent="0.25">
      <c r="A6">
        <v>4</v>
      </c>
      <c r="B6" t="s">
        <v>184</v>
      </c>
      <c r="C6" t="s">
        <v>33</v>
      </c>
      <c r="D6" s="1">
        <v>37871</v>
      </c>
      <c r="E6" t="s">
        <v>10</v>
      </c>
    </row>
    <row r="7" spans="1:5" x14ac:dyDescent="0.25">
      <c r="A7">
        <v>4</v>
      </c>
      <c r="B7" t="s">
        <v>185</v>
      </c>
      <c r="C7" t="s">
        <v>33</v>
      </c>
      <c r="D7" s="1">
        <v>39446</v>
      </c>
      <c r="E7" t="s">
        <v>9</v>
      </c>
    </row>
    <row r="8" spans="1:5" x14ac:dyDescent="0.25">
      <c r="A8">
        <v>4</v>
      </c>
      <c r="B8" t="s">
        <v>186</v>
      </c>
      <c r="C8" t="s">
        <v>33</v>
      </c>
      <c r="D8" s="1">
        <v>40252</v>
      </c>
      <c r="E8" t="s">
        <v>8</v>
      </c>
    </row>
    <row r="9" spans="1:5" x14ac:dyDescent="0.25">
      <c r="A9">
        <v>5</v>
      </c>
      <c r="B9" t="s">
        <v>187</v>
      </c>
      <c r="C9" t="s">
        <v>33</v>
      </c>
      <c r="D9" s="1">
        <v>39489</v>
      </c>
      <c r="E9" t="s">
        <v>8</v>
      </c>
    </row>
    <row r="10" spans="1:5" x14ac:dyDescent="0.25">
      <c r="A10">
        <v>5</v>
      </c>
      <c r="B10" t="s">
        <v>188</v>
      </c>
      <c r="C10" t="s">
        <v>33</v>
      </c>
      <c r="D10" s="1">
        <v>40722</v>
      </c>
      <c r="E10" t="s">
        <v>8</v>
      </c>
    </row>
    <row r="11" spans="1:5" x14ac:dyDescent="0.25">
      <c r="A11">
        <v>6</v>
      </c>
      <c r="B11" t="s">
        <v>189</v>
      </c>
      <c r="C11" t="s">
        <v>33</v>
      </c>
      <c r="D11" s="1">
        <v>31152</v>
      </c>
      <c r="E11" t="s">
        <v>12</v>
      </c>
    </row>
    <row r="12" spans="1:5" x14ac:dyDescent="0.25">
      <c r="A12">
        <v>6</v>
      </c>
      <c r="B12" t="s">
        <v>190</v>
      </c>
      <c r="C12" t="s">
        <v>33</v>
      </c>
      <c r="D12" s="1">
        <v>32347</v>
      </c>
      <c r="E12" t="s">
        <v>14</v>
      </c>
    </row>
    <row r="13" spans="1:5" x14ac:dyDescent="0.25">
      <c r="A13">
        <v>6</v>
      </c>
      <c r="B13" t="s">
        <v>191</v>
      </c>
      <c r="C13" t="s">
        <v>34</v>
      </c>
      <c r="D13" s="1">
        <v>40461</v>
      </c>
      <c r="E13" t="s">
        <v>8</v>
      </c>
    </row>
    <row r="14" spans="1:5" x14ac:dyDescent="0.25">
      <c r="A14">
        <v>7</v>
      </c>
      <c r="B14" t="s">
        <v>192</v>
      </c>
      <c r="C14" t="s">
        <v>39</v>
      </c>
      <c r="D14" s="1">
        <v>36057</v>
      </c>
      <c r="E14" t="s">
        <v>13</v>
      </c>
    </row>
    <row r="15" spans="1:5" x14ac:dyDescent="0.25">
      <c r="A15">
        <v>7</v>
      </c>
      <c r="B15" t="s">
        <v>193</v>
      </c>
      <c r="C15" t="s">
        <v>36</v>
      </c>
      <c r="D15" s="1">
        <v>24911</v>
      </c>
      <c r="E15" t="s">
        <v>8</v>
      </c>
    </row>
    <row r="16" spans="1:5" x14ac:dyDescent="0.25">
      <c r="A16">
        <v>7</v>
      </c>
      <c r="B16" t="s">
        <v>194</v>
      </c>
      <c r="C16" t="s">
        <v>39</v>
      </c>
      <c r="D16" s="1">
        <v>37230</v>
      </c>
      <c r="E16" t="s">
        <v>11</v>
      </c>
    </row>
    <row r="17" spans="1:5" x14ac:dyDescent="0.25">
      <c r="A17">
        <v>7</v>
      </c>
      <c r="B17" t="s">
        <v>195</v>
      </c>
      <c r="C17" t="s">
        <v>41</v>
      </c>
      <c r="D17" s="1">
        <v>43181</v>
      </c>
      <c r="E17" t="s">
        <v>7</v>
      </c>
    </row>
    <row r="18" spans="1:5" x14ac:dyDescent="0.25">
      <c r="A18">
        <v>8</v>
      </c>
      <c r="B18" t="s">
        <v>196</v>
      </c>
      <c r="C18" t="s">
        <v>33</v>
      </c>
      <c r="D18" s="1">
        <v>39546</v>
      </c>
      <c r="E18" t="s">
        <v>9</v>
      </c>
    </row>
    <row r="19" spans="1:5" x14ac:dyDescent="0.25">
      <c r="A19">
        <v>8</v>
      </c>
      <c r="B19" t="s">
        <v>197</v>
      </c>
      <c r="C19" t="s">
        <v>33</v>
      </c>
      <c r="D19" s="1">
        <v>40574</v>
      </c>
      <c r="E19" t="s">
        <v>8</v>
      </c>
    </row>
    <row r="20" spans="1:5" x14ac:dyDescent="0.25">
      <c r="A20">
        <v>8</v>
      </c>
      <c r="B20" t="s">
        <v>198</v>
      </c>
      <c r="C20" t="s">
        <v>36</v>
      </c>
      <c r="D20" s="1">
        <v>20242</v>
      </c>
      <c r="E20" t="s">
        <v>8</v>
      </c>
    </row>
    <row r="21" spans="1:5" x14ac:dyDescent="0.25">
      <c r="A21">
        <v>9</v>
      </c>
      <c r="B21" t="s">
        <v>199</v>
      </c>
      <c r="C21" t="s">
        <v>33</v>
      </c>
      <c r="D21" s="1">
        <v>26613</v>
      </c>
      <c r="E21" t="s">
        <v>11</v>
      </c>
    </row>
    <row r="22" spans="1:5" x14ac:dyDescent="0.25">
      <c r="A22">
        <v>9</v>
      </c>
      <c r="B22" t="s">
        <v>200</v>
      </c>
      <c r="C22" t="s">
        <v>34</v>
      </c>
      <c r="D22" s="1">
        <v>34867</v>
      </c>
      <c r="E22" t="s">
        <v>12</v>
      </c>
    </row>
    <row r="23" spans="1:5" x14ac:dyDescent="0.25">
      <c r="A23">
        <v>9</v>
      </c>
      <c r="B23" t="s">
        <v>201</v>
      </c>
      <c r="C23" t="s">
        <v>34</v>
      </c>
      <c r="D23" s="1">
        <v>36042</v>
      </c>
      <c r="E23" t="s">
        <v>13</v>
      </c>
    </row>
    <row r="24" spans="1:5" x14ac:dyDescent="0.25">
      <c r="A24">
        <v>9</v>
      </c>
      <c r="B24" t="s">
        <v>202</v>
      </c>
      <c r="C24" t="s">
        <v>35</v>
      </c>
      <c r="D24" s="1">
        <v>43144</v>
      </c>
      <c r="E24" t="s">
        <v>7</v>
      </c>
    </row>
    <row r="25" spans="1:5" x14ac:dyDescent="0.25">
      <c r="A25">
        <v>9</v>
      </c>
      <c r="B25" t="s">
        <v>203</v>
      </c>
      <c r="C25" t="s">
        <v>37</v>
      </c>
      <c r="D25" s="1">
        <v>11441</v>
      </c>
      <c r="E25" t="s">
        <v>7</v>
      </c>
    </row>
    <row r="26" spans="1:5" x14ac:dyDescent="0.25">
      <c r="A26">
        <v>2</v>
      </c>
      <c r="B26" t="s">
        <v>179</v>
      </c>
      <c r="C26" s="1" t="s">
        <v>33</v>
      </c>
      <c r="D26" s="1">
        <v>42066</v>
      </c>
      <c r="E26" t="s">
        <v>10</v>
      </c>
    </row>
    <row r="27" spans="1:5" x14ac:dyDescent="0.25">
      <c r="A27">
        <v>3</v>
      </c>
      <c r="B27" t="s">
        <v>179</v>
      </c>
      <c r="C27" s="1" t="s">
        <v>33</v>
      </c>
      <c r="D27" s="1">
        <v>34761</v>
      </c>
      <c r="E27" t="s">
        <v>14</v>
      </c>
    </row>
    <row r="28" spans="1:5" x14ac:dyDescent="0.25">
      <c r="A28">
        <v>3</v>
      </c>
      <c r="B28" t="s">
        <v>180</v>
      </c>
      <c r="C28" s="1" t="s">
        <v>33</v>
      </c>
      <c r="D28" s="1">
        <v>40377</v>
      </c>
      <c r="E28" t="s">
        <v>8</v>
      </c>
    </row>
    <row r="29" spans="1:5" x14ac:dyDescent="0.25">
      <c r="A29">
        <v>3</v>
      </c>
      <c r="B29" t="s">
        <v>181</v>
      </c>
      <c r="C29" s="1" t="s">
        <v>33</v>
      </c>
      <c r="D29" s="1">
        <v>41603</v>
      </c>
      <c r="E29" t="s">
        <v>8</v>
      </c>
    </row>
    <row r="30" spans="1:5" x14ac:dyDescent="0.25">
      <c r="A30">
        <v>3</v>
      </c>
      <c r="B30" t="s">
        <v>182</v>
      </c>
      <c r="C30" s="1" t="s">
        <v>33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zoomScaleNormal="100" workbookViewId="0">
      <selection activeCell="F11" sqref="F11:BY11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24" t="s">
        <v>71</v>
      </c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</row>
    <row r="5" spans="1:77" x14ac:dyDescent="0.25">
      <c r="A5" s="12" t="s">
        <v>67</v>
      </c>
      <c r="B5" s="6"/>
      <c r="C5" s="6"/>
      <c r="D5" s="6"/>
      <c r="E5" s="6"/>
      <c r="F5" s="29" t="s">
        <v>151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31">
        <f>IFERROR(VLOOKUP(NomeAssistido,CADASTROS[],MATCH("DataNascimentoAssistido",CADASTROS[#Headers],0),0), "------")</f>
        <v>34733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12" t="s">
        <v>69</v>
      </c>
      <c r="AW6" s="30" t="str">
        <f>IFERROR(VLOOKUP(NomeAssistido, CADASTROS[], MATCH("EstadoCivilAssistido", CADASTROS[#Headers], 0), 0), "------")</f>
        <v>Solteiro(a)</v>
      </c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29" t="str">
        <f>IFERROR(VLOOKUP(NomeAssistido, CADASTROS[], MATCH("ProfissaoAssistido", CADASTROS[#Headers],0), 0), "------")</f>
        <v>Desempregada</v>
      </c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12" t="s">
        <v>70</v>
      </c>
      <c r="AX7" s="30" t="str">
        <f>IFERROR(VLOOKUP(NomeAssistido, CADASTROS[], MATCH("EscolaridadeAssistido", CADASTROS[#Headers], 0), 0), "------")</f>
        <v>Ensino Médio Incompleto</v>
      </c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</row>
    <row r="8" spans="1:77" x14ac:dyDescent="0.25">
      <c r="A8" s="13" t="s">
        <v>78</v>
      </c>
      <c r="B8" s="6"/>
      <c r="C8" s="6"/>
      <c r="D8" s="6"/>
      <c r="E8" s="27" t="str">
        <f>IFERROR(VLOOKUP(NomeAssistido, CADASTROS[], MATCH("CPFAssistido", CADASTROS[#Headers],0), 0), "------")</f>
        <v>984.637.810-63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12" t="s">
        <v>79</v>
      </c>
      <c r="AU8" s="28" t="str">
        <f>IFERROR(VLOOKUP(NomeAssistido, CADASTROS[], MATCH("TelefoneAssistido", CADASTROS[#Headers], 0), 0), "------")</f>
        <v>(31) 99234-5670</v>
      </c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24" t="s">
        <v>102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</row>
    <row r="11" spans="1:77" x14ac:dyDescent="0.25">
      <c r="A11" s="12" t="s">
        <v>67</v>
      </c>
      <c r="B11" s="6"/>
      <c r="C11" s="6"/>
      <c r="D11" s="6"/>
      <c r="E11" s="6"/>
      <c r="F11" s="29">
        <f>IFERROR(VLOOKUP(NomeAssistido, CADASTROS[], MATCH("NomeConjuge", CADASTROS[#Headers], 0), 0), "------")</f>
        <v>0</v>
      </c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31">
        <f>IFERROR(VLOOKUP(NomeAssistido, CADASTROS[], MATCH("DataNascimentoConjuge", CADASTROS[#Headers], 0), 0), "------")</f>
        <v>0</v>
      </c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12" t="s">
        <v>69</v>
      </c>
      <c r="AW12" s="29">
        <f>IFERROR(VLOOKUP(NomeAssistido, CADASTROS[], MATCH("EstadoCivilConjuge", CADASTROS[#Headers], 0), 0), "------")</f>
        <v>0</v>
      </c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29">
        <f>IFERROR(VLOOKUP(NomeAssistido, CADASTROS[], MATCH("ProfissaoConjuge", CADASTROS[#Headers], 0), 0), "------")</f>
        <v>0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12" t="s">
        <v>70</v>
      </c>
      <c r="AX13" s="29">
        <f>IFERROR(VLOOKUP(NomeAssistido, CADASTROS[], MATCH("EscolaridadeConjuge", CADASTROS[#Headers], 0), 0), "------")</f>
        <v>0</v>
      </c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</row>
    <row r="14" spans="1:77" x14ac:dyDescent="0.25">
      <c r="A14" s="13" t="s">
        <v>78</v>
      </c>
      <c r="B14" s="6"/>
      <c r="C14" s="6"/>
      <c r="D14" s="6"/>
      <c r="E14" s="27">
        <f>IFERROR(VLOOKUP(NomeAssistido, CADASTROS[], MATCH("CPFConjuge", CADASTROS[#Headers], 0), 0), "------")</f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12" t="s">
        <v>79</v>
      </c>
      <c r="AU14" s="28">
        <f>IFERROR(VLOOKUP(NomeAssistido, CADASTROS[], MATCH("TelefoneConjuge", CADASTROS[#Headers], 0), 0), "------")</f>
        <v>0</v>
      </c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24" t="s">
        <v>83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</row>
    <row r="17" spans="1:77" x14ac:dyDescent="0.25">
      <c r="A17" s="9" t="s">
        <v>72</v>
      </c>
      <c r="B17" s="2"/>
      <c r="C17" s="2"/>
      <c r="D17" s="2"/>
      <c r="E17" s="2"/>
      <c r="F17" s="2"/>
      <c r="G17" s="2"/>
      <c r="H17" s="2"/>
      <c r="I17" s="2"/>
      <c r="J17" s="2"/>
      <c r="AK17" t="s">
        <v>73</v>
      </c>
      <c r="AL17" s="14" t="str">
        <f>IFERROR(IF(VLOOKUP(NomeAssistido, CADASTROS[], MATCH("ParticipaProgGov?", CADASTROS[#Headers], 0), 0), "X", ""), "-")</f>
        <v>X</v>
      </c>
      <c r="AM17" t="s">
        <v>74</v>
      </c>
      <c r="AN17" s="15" t="s">
        <v>75</v>
      </c>
      <c r="AR17" t="s">
        <v>73</v>
      </c>
      <c r="AS17" s="14" t="str">
        <f>IF($AL$17 = "X", "", IF($AL$17 ="-", "-", "X"))</f>
        <v/>
      </c>
      <c r="AT17" t="s">
        <v>74</v>
      </c>
      <c r="AU17" s="15" t="s">
        <v>76</v>
      </c>
    </row>
    <row r="18" spans="1:77" x14ac:dyDescent="0.25">
      <c r="A18" s="9" t="s">
        <v>77</v>
      </c>
      <c r="F18" s="22" t="str">
        <f>IFERROR(VLOOKUP(NomeAssistido, CADASTROS[], MATCH("ProgGov", CADASTROS[#Headers], 0), 0), "------")</f>
        <v>Bolsa Família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80</v>
      </c>
      <c r="AB20" t="s">
        <v>73</v>
      </c>
      <c r="AC20" s="14" t="str">
        <f>IFERROR(IF(VLOOKUP(NomeAssistido, CADASTROS[], MATCH("RecebeCesta?", CADASTROS[#Headers], 0), 0), "X", ""), "-")</f>
        <v>X</v>
      </c>
      <c r="AD20" t="s">
        <v>74</v>
      </c>
      <c r="AE20" s="15" t="s">
        <v>75</v>
      </c>
      <c r="AI20" t="s">
        <v>73</v>
      </c>
      <c r="AJ20" s="14" t="str">
        <f>IF($AC$20 = "X", "", IF($AC$20= "-", "-", "X"))</f>
        <v/>
      </c>
      <c r="AK20" t="s">
        <v>74</v>
      </c>
      <c r="AL20" s="15" t="s">
        <v>76</v>
      </c>
    </row>
    <row r="21" spans="1:77" ht="8.25" customHeight="1" x14ac:dyDescent="0.25"/>
    <row r="22" spans="1:77" x14ac:dyDescent="0.25">
      <c r="A22" s="15" t="s">
        <v>81</v>
      </c>
      <c r="M22" s="23" t="str">
        <f>IFERROR(VLOOKUP(NomeAssistido, CADASTROS[], MATCH("TipoMoradia", CADASTROS[#Headers], 0), 0), "------")</f>
        <v>Cedida</v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Q22" s="15" t="s">
        <v>82</v>
      </c>
      <c r="BP22" s="23">
        <f>IFERROR(VLOOKUP(NomeAssistido, CADASTROS[], MATCH("NPessoas", CADASTROS[#Headers], 0), 0), "------")</f>
        <v>4</v>
      </c>
      <c r="BQ22" s="23"/>
      <c r="BR22" s="23"/>
      <c r="BS22" s="23"/>
      <c r="BT22" s="23"/>
      <c r="BU22" s="23"/>
      <c r="BV22" s="23"/>
      <c r="BW22" s="23"/>
      <c r="BX22" s="23"/>
      <c r="BY22" s="23"/>
    </row>
    <row r="24" spans="1:77" x14ac:dyDescent="0.25">
      <c r="A24" s="12" t="s">
        <v>67</v>
      </c>
      <c r="B24" s="6"/>
      <c r="C24" s="6"/>
      <c r="D24" s="6"/>
      <c r="E24" s="6"/>
      <c r="F24" s="22" t="str" cm="1">
        <f t="array" ref="F24">IFERROR(PROCINDICE(PARENTES[#All], keyParentes, "NomeParente", 1), "------")</f>
        <v>Vitória Ferreira Dias</v>
      </c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12" t="s">
        <v>68</v>
      </c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26" t="str" cm="1">
        <f t="array" ref="BK24">IFERROR(PROCINDICE(PARENTES[#All], keyParentes, "DataNascimentoParente", 1), "------")</f>
        <v>19/09/1998</v>
      </c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</row>
    <row r="25" spans="1:77" x14ac:dyDescent="0.25">
      <c r="A25" s="12" t="s">
        <v>70</v>
      </c>
      <c r="B25" s="5"/>
      <c r="C25" s="6"/>
      <c r="D25" s="6"/>
      <c r="E25" s="6"/>
      <c r="F25" s="5"/>
      <c r="G25" s="6"/>
      <c r="H25" s="6"/>
      <c r="I25" s="6"/>
      <c r="J25" s="6"/>
      <c r="K25" s="25" t="str" cm="1">
        <f t="array" ref="K25">IFERROR(PROCINDICE(PARENTES[#All], keyParentes, "EscolaridadeParente", 1), "------")</f>
        <v>Ensino Superior Incompleto</v>
      </c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12" t="s">
        <v>84</v>
      </c>
      <c r="AW25" s="6"/>
      <c r="AX25" s="6"/>
      <c r="AY25" s="6"/>
      <c r="AZ25" s="6"/>
      <c r="BA25" s="6"/>
      <c r="BB25" s="6"/>
      <c r="BC25" s="6"/>
      <c r="BD25" s="6"/>
      <c r="BE25" s="22" t="str" cm="1">
        <f t="array" ref="BE25">IFERROR(PROCINDICE(PARENTES[#All], keyParentes, "GrauParentescoParente", 1), "------")</f>
        <v>Irmão(ã)</v>
      </c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</row>
    <row r="26" spans="1:77" s="10" customFormat="1" ht="5.85" customHeight="1" x14ac:dyDescent="0.25"/>
    <row r="27" spans="1:77" x14ac:dyDescent="0.25">
      <c r="A27" s="12" t="s">
        <v>67</v>
      </c>
      <c r="B27" s="6"/>
      <c r="C27" s="6"/>
      <c r="D27" s="6"/>
      <c r="E27" s="6"/>
      <c r="F27" s="22" t="str" cm="1">
        <f t="array" ref="F27">IFERROR(PROCINDICE(PARENTES[#All], keyParentes, "NomeParente", 2), "------")</f>
        <v>Dona Conceição Ferreira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12" t="s">
        <v>68</v>
      </c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26" t="str" cm="1">
        <f t="array" ref="BK27">IFERROR(PROCINDICE(PARENTES[#All], keyParentes, "DataNascimentoParente", 2), "------")</f>
        <v>14/03/1968</v>
      </c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</row>
    <row r="28" spans="1:77" x14ac:dyDescent="0.25">
      <c r="A28" s="12" t="s">
        <v>70</v>
      </c>
      <c r="B28" s="5"/>
      <c r="C28" s="6"/>
      <c r="D28" s="6"/>
      <c r="E28" s="6"/>
      <c r="F28" s="5"/>
      <c r="G28" s="6"/>
      <c r="H28" s="6"/>
      <c r="I28" s="6"/>
      <c r="J28" s="6"/>
      <c r="K28" s="25" t="str" cm="1">
        <f t="array" ref="K28">IFERROR(PROCINDICE(PARENTES[#All], keyParentes, "EscolaridadeParente", 2), "------")</f>
        <v>Ensino Fundamental Incompleto</v>
      </c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12" t="s">
        <v>84</v>
      </c>
      <c r="AW28" s="6"/>
      <c r="AX28" s="6"/>
      <c r="AY28" s="6"/>
      <c r="AZ28" s="6"/>
      <c r="BA28" s="6"/>
      <c r="BB28" s="6"/>
      <c r="BC28" s="6"/>
      <c r="BD28" s="6"/>
      <c r="BE28" s="22" t="str" cm="1">
        <f t="array" ref="BE28">IFERROR(PROCINDICE(PARENTES[#All], keyParentes, "GrauParentescoParente", 2), "------")</f>
        <v>Pai/Mãe</v>
      </c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</row>
    <row r="29" spans="1:77" s="10" customFormat="1" ht="5.8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7"/>
      <c r="AO29" s="7"/>
      <c r="AP29" s="7"/>
      <c r="AQ29" s="7"/>
      <c r="AR29" s="7"/>
      <c r="AS29" s="7"/>
      <c r="AT29" s="7"/>
      <c r="AU29" s="7"/>
      <c r="AV29" s="7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</row>
    <row r="30" spans="1:77" x14ac:dyDescent="0.25">
      <c r="A30" s="12" t="s">
        <v>67</v>
      </c>
      <c r="B30" s="6"/>
      <c r="C30" s="6"/>
      <c r="D30" s="6"/>
      <c r="E30" s="6"/>
      <c r="F30" s="22" t="str" cm="1">
        <f t="array" ref="F30">IFERROR(PROCINDICE(PARENTES[#All], keyParentes, "NomeParente", 3), "------")</f>
        <v>Samuel Ferreira Dias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12" t="s">
        <v>68</v>
      </c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26" t="str" cm="1">
        <f t="array" ref="BK30">IFERROR(PROCINDICE(PARENTES[#All], keyParentes, "DataNascimentoParente", 3), "------")</f>
        <v>05/12/2001</v>
      </c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</row>
    <row r="31" spans="1:77" x14ac:dyDescent="0.25">
      <c r="A31" s="12" t="s">
        <v>70</v>
      </c>
      <c r="B31" s="5"/>
      <c r="C31" s="6"/>
      <c r="D31" s="6"/>
      <c r="E31" s="6"/>
      <c r="F31" s="5"/>
      <c r="G31" s="6"/>
      <c r="H31" s="6"/>
      <c r="I31" s="6"/>
      <c r="J31" s="6"/>
      <c r="K31" s="25" t="str" cm="1">
        <f t="array" ref="K31">IFERROR(PROCINDICE(PARENTES[#All], keyParentes, "EscolaridadeParente", 3), "------")</f>
        <v>Ensino Médio Completo</v>
      </c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12" t="s">
        <v>84</v>
      </c>
      <c r="AW31" s="6"/>
      <c r="AX31" s="6"/>
      <c r="AY31" s="6"/>
      <c r="AZ31" s="6"/>
      <c r="BA31" s="6"/>
      <c r="BB31" s="6"/>
      <c r="BC31" s="6"/>
      <c r="BD31" s="6"/>
      <c r="BE31" s="22" t="str" cm="1">
        <f t="array" ref="BE31">IFERROR(PROCINDICE(PARENTES[#All], keyParentes, "GrauParentescoParente", 3), "------")</f>
        <v>Irmão(ã)</v>
      </c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</row>
    <row r="32" spans="1:77" s="10" customFormat="1" ht="5.85" customHeight="1" x14ac:dyDescent="0.25">
      <c r="A32" s="7"/>
      <c r="B32" s="7"/>
      <c r="C32" s="7"/>
      <c r="D32" s="7"/>
      <c r="E32" s="7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</row>
    <row r="33" spans="1:77" x14ac:dyDescent="0.25">
      <c r="A33" s="12" t="s">
        <v>67</v>
      </c>
      <c r="B33" s="6"/>
      <c r="C33" s="6"/>
      <c r="D33" s="6"/>
      <c r="E33" s="6"/>
      <c r="F33" s="22" t="str" cm="1">
        <f t="array" ref="F33">IFERROR(PROCINDICE(PARENTES[#All], keyParentes, "NomeParente", 4), "------")</f>
        <v>Rebeca Ferreira Dias</v>
      </c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12" t="s">
        <v>68</v>
      </c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26" t="str" cm="1">
        <f t="array" ref="BK33">IFERROR(PROCINDICE(PARENTES[#All], keyParentes, "DataNascimentoParente", 4), "------")</f>
        <v>22/03/2018</v>
      </c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</row>
    <row r="34" spans="1:77" x14ac:dyDescent="0.25">
      <c r="A34" s="12" t="s">
        <v>70</v>
      </c>
      <c r="B34" s="5"/>
      <c r="C34" s="6"/>
      <c r="D34" s="6"/>
      <c r="E34" s="6"/>
      <c r="F34" s="5"/>
      <c r="G34" s="6"/>
      <c r="H34" s="6"/>
      <c r="I34" s="6"/>
      <c r="J34" s="6"/>
      <c r="K34" s="25" t="str" cm="1">
        <f t="array" ref="K34">IFERROR(PROCINDICE(PARENTES[#All], keyParentes, "EscolaridadeParente", 4), "------")</f>
        <v>Analfabeto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12" t="s">
        <v>84</v>
      </c>
      <c r="AW34" s="6"/>
      <c r="AX34" s="6"/>
      <c r="AY34" s="6"/>
      <c r="AZ34" s="6"/>
      <c r="BA34" s="6"/>
      <c r="BB34" s="6"/>
      <c r="BC34" s="6"/>
      <c r="BD34" s="6"/>
      <c r="BE34" s="22" t="str" cm="1">
        <f t="array" ref="BE34">IFERROR(PROCINDICE(PARENTES[#All], keyParentes, "GrauParentescoParente", 4), "------")</f>
        <v>Sobrinho(a)</v>
      </c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</row>
    <row r="35" spans="1:77" s="10" customFormat="1" ht="5.8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"/>
      <c r="AO35" s="7"/>
      <c r="AP35" s="7"/>
      <c r="AQ35" s="7"/>
      <c r="AR35" s="7"/>
      <c r="AS35" s="7"/>
      <c r="AT35" s="7"/>
      <c r="AU35" s="7"/>
      <c r="AV35" s="7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</row>
    <row r="36" spans="1:77" x14ac:dyDescent="0.25">
      <c r="A36" s="12" t="s">
        <v>67</v>
      </c>
      <c r="B36" s="6"/>
      <c r="C36" s="6"/>
      <c r="D36" s="6"/>
      <c r="E36" s="6"/>
      <c r="F36" s="22" t="str" cm="1">
        <f t="array" ref="F36">IFERROR(PROCINDICE(PARENTES[#All], keyParentes, "NomeParente", 5), "------")</f>
        <v>------</v>
      </c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12" t="s">
        <v>68</v>
      </c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26" t="str" cm="1">
        <f t="array" ref="BK36">IFERROR(PROCINDICE(PARENTES[#All], keyParentes, "DataNascimentoParente", 5), "------")</f>
        <v>------</v>
      </c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</row>
    <row r="37" spans="1:77" x14ac:dyDescent="0.25">
      <c r="A37" s="12" t="s">
        <v>70</v>
      </c>
      <c r="B37" s="5"/>
      <c r="C37" s="6"/>
      <c r="D37" s="6"/>
      <c r="E37" s="6"/>
      <c r="F37" s="5"/>
      <c r="G37" s="6"/>
      <c r="H37" s="6"/>
      <c r="I37" s="6"/>
      <c r="J37" s="6"/>
      <c r="K37" s="25" t="str" cm="1">
        <f t="array" ref="K37">IFERROR(PROCINDICE(PARENTES[#All], keyParentes, "EscolaridadeParente", 5), "------")</f>
        <v>------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12" t="s">
        <v>84</v>
      </c>
      <c r="AW37" s="6"/>
      <c r="AX37" s="6"/>
      <c r="AY37" s="6"/>
      <c r="AZ37" s="6"/>
      <c r="BA37" s="6"/>
      <c r="BB37" s="6"/>
      <c r="BC37" s="6"/>
      <c r="BD37" s="6"/>
      <c r="BE37" s="22" t="str" cm="1">
        <f t="array" ref="BE37">IFERROR(PROCINDICE(PARENTES[#All], keyParentes, "GrauParentescoParente", 5), "------")</f>
        <v>------</v>
      </c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</row>
    <row r="38" spans="1:77" s="10" customFormat="1" ht="5.8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</row>
    <row r="39" spans="1:77" x14ac:dyDescent="0.25">
      <c r="A39" s="12" t="s">
        <v>67</v>
      </c>
      <c r="B39" s="6"/>
      <c r="C39" s="6"/>
      <c r="D39" s="6"/>
      <c r="E39" s="6"/>
      <c r="F39" s="22" t="str" cm="1">
        <f t="array" ref="F39">IFERROR(PROCINDICE(PARENTES[#All], keyParentes, "NomeParente", 6), "------")</f>
        <v>------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12" t="s">
        <v>68</v>
      </c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26" t="str" cm="1">
        <f t="array" ref="BK39">IFERROR(PROCINDICE(PARENTES[#All], keyParentes, "DataNascimentoParente", 6), "------")</f>
        <v>------</v>
      </c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</row>
    <row r="40" spans="1:77" x14ac:dyDescent="0.25">
      <c r="A40" s="12" t="s">
        <v>70</v>
      </c>
      <c r="B40" s="5"/>
      <c r="C40" s="6"/>
      <c r="D40" s="6"/>
      <c r="E40" s="6"/>
      <c r="F40" s="5"/>
      <c r="G40" s="6"/>
      <c r="H40" s="6"/>
      <c r="I40" s="6"/>
      <c r="J40" s="6"/>
      <c r="K40" s="25" t="str" cm="1">
        <f t="array" ref="K40">IFERROR(PROCINDICE(PARENTES[#All], keyParentes, "EscolaridadeParente", 6), "------")</f>
        <v>------</v>
      </c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12" t="s">
        <v>84</v>
      </c>
      <c r="AW40" s="6"/>
      <c r="AX40" s="6"/>
      <c r="AY40" s="6"/>
      <c r="AZ40" s="6"/>
      <c r="BA40" s="6"/>
      <c r="BB40" s="6"/>
      <c r="BC40" s="6"/>
      <c r="BD40" s="6"/>
      <c r="BE40" s="22" t="str" cm="1">
        <f t="array" ref="BE40">IFERROR(PROCINDICE(PARENTES[#All], keyParentes, "GrauParentescoParente", 6), "------")</f>
        <v>------</v>
      </c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</row>
    <row r="41" spans="1:77" s="10" customFormat="1" ht="5.8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</row>
    <row r="42" spans="1:77" x14ac:dyDescent="0.25">
      <c r="A42" s="12" t="s">
        <v>67</v>
      </c>
      <c r="B42" s="6"/>
      <c r="C42" s="6"/>
      <c r="D42" s="6"/>
      <c r="E42" s="6"/>
      <c r="F42" s="22" t="str" cm="1">
        <f t="array" ref="F42">IFERROR(PROCINDICE(PARENTES[#All], keyParentes, "NomeParente", 7), "------")</f>
        <v>------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12" t="s">
        <v>68</v>
      </c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26" t="str" cm="1">
        <f t="array" ref="BK42">IFERROR(PROCINDICE(PARENTES[#All], keyParentes, "DataNascimentoParente", 7), "------")</f>
        <v>------</v>
      </c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</row>
    <row r="43" spans="1:77" x14ac:dyDescent="0.25">
      <c r="A43" s="12" t="s">
        <v>70</v>
      </c>
      <c r="B43" s="5"/>
      <c r="C43" s="6"/>
      <c r="D43" s="6"/>
      <c r="E43" s="6"/>
      <c r="F43" s="5"/>
      <c r="G43" s="6"/>
      <c r="H43" s="6"/>
      <c r="I43" s="6"/>
      <c r="J43" s="6"/>
      <c r="K43" s="25" t="str" cm="1">
        <f t="array" ref="K43">IFERROR(PROCINDICE(PARENTES[#All], keyParentes, "EscolaridadeParente", 7), "------")</f>
        <v>------</v>
      </c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12" t="s">
        <v>84</v>
      </c>
      <c r="AW43" s="6"/>
      <c r="AX43" s="6"/>
      <c r="AY43" s="6"/>
      <c r="AZ43" s="6"/>
      <c r="BA43" s="6"/>
      <c r="BB43" s="6"/>
      <c r="BC43" s="6"/>
      <c r="BD43" s="6"/>
      <c r="BE43" s="22" t="str" cm="1">
        <f t="array" ref="BE43">IFERROR(PROCINDICE(PARENTES[#All], keyParentes, "GrauParentescoParente", 7), "------")</f>
        <v>------</v>
      </c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</row>
    <row r="44" spans="1:77" s="10" customFormat="1" ht="18.75" customHeight="1" x14ac:dyDescent="0.25"/>
    <row r="45" spans="1:77" ht="15" customHeight="1" x14ac:dyDescent="0.25">
      <c r="A45" s="33" t="s">
        <v>85</v>
      </c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32" t="s">
        <v>89</v>
      </c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</row>
    <row r="53" spans="1:77" ht="9.75" customHeight="1" x14ac:dyDescent="0.25"/>
    <row r="54" spans="1:77" x14ac:dyDescent="0.25">
      <c r="A54" t="s">
        <v>93</v>
      </c>
      <c r="J54" s="31">
        <f>IFERROR(VLOOKUP(NomeAssistido, CADASTROS[], MATCH("DataSindicancia", CADASTROS[#Headers], 0), 0), "------")</f>
        <v>45674</v>
      </c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F54" t="s">
        <v>94</v>
      </c>
      <c r="AM54" s="23" t="str">
        <f>IFERROR(VLOOKUP(NomeAssistido, CADASTROS[], MATCH("NomeVisitador", CADASTROS[#Headers], 0), 0), "------")</f>
        <v>Marcos Vinicius Rocha</v>
      </c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</row>
  </sheetData>
  <mergeCells count="52">
    <mergeCell ref="J54:AD54"/>
    <mergeCell ref="AM54:BY54"/>
    <mergeCell ref="BK33:BY33"/>
    <mergeCell ref="K34:AU34"/>
    <mergeCell ref="BE34:BY34"/>
    <mergeCell ref="BK36:BY36"/>
    <mergeCell ref="K37:AU37"/>
    <mergeCell ref="BE37:BY37"/>
    <mergeCell ref="P52:BG52"/>
    <mergeCell ref="K43:AU43"/>
    <mergeCell ref="BE43:BY43"/>
    <mergeCell ref="A45:BY45"/>
    <mergeCell ref="BK27:BY27"/>
    <mergeCell ref="K28:AU28"/>
    <mergeCell ref="BE28:BY28"/>
    <mergeCell ref="F42:AU42"/>
    <mergeCell ref="BK39:BY39"/>
    <mergeCell ref="K40:AU40"/>
    <mergeCell ref="BE40:BY40"/>
    <mergeCell ref="BK42:BY42"/>
    <mergeCell ref="F30:AU30"/>
    <mergeCell ref="F27:AU27"/>
    <mergeCell ref="BK30:BY30"/>
    <mergeCell ref="F36:AU36"/>
    <mergeCell ref="F33:AU33"/>
    <mergeCell ref="K31:AU31"/>
    <mergeCell ref="BE31:BY31"/>
    <mergeCell ref="F39:AU39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F18:BY18"/>
    <mergeCell ref="M22:AO22"/>
    <mergeCell ref="BP22:BY22"/>
    <mergeCell ref="A16:BY16"/>
    <mergeCell ref="K25:AU25"/>
    <mergeCell ref="BK24:BY24"/>
    <mergeCell ref="BE25:BY25"/>
    <mergeCell ref="F24:AU24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MENU</vt:lpstr>
      <vt:lpstr>CADASTROS</vt:lpstr>
      <vt:lpstr>ACOMPANHAMENTO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2026-06-11T19:27:08Z</cp:lastPrinted>
  <dcterms:created xsi:type="dcterms:W3CDTF">2026-06-02T00:17:23Z</dcterms:created>
  <dcterms:modified xsi:type="dcterms:W3CDTF">2026-06-11T22:11:33Z</dcterms:modified>
</cp:coreProperties>
</file>