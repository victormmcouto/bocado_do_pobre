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583" documentId="14_{99C30D5E-707F-4DBC-83FD-C0930369E172}" xr6:coauthVersionLast="47" xr6:coauthVersionMax="47" xr10:uidLastSave="{F0DE3A96-8D92-4810-ABB8-A1C99151E7AF}"/>
  <bookViews>
    <workbookView xWindow="-120" yWindow="-120" windowWidth="20730" windowHeight="11040" tabRatio="890" activeTab="6" xr2:uid="{FD1134B4-C37A-482C-B875-A4A14024FB80}"/>
  </bookViews>
  <sheets>
    <sheet name="MENU" sheetId="1" r:id="rId1"/>
    <sheet name="CADASTRO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0" l="1"/>
  <c r="I43" i="1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F34" i="11" a="1"/>
  <c r="BE32" i="11" a="1"/>
  <c r="K29" i="11" a="1"/>
  <c r="BK22" i="11" a="1"/>
  <c r="K23" i="11" a="1"/>
  <c r="BE38" i="11" a="1"/>
  <c r="F40" i="11" a="1"/>
  <c r="K35" i="11" a="1"/>
  <c r="K38" i="11" a="1"/>
  <c r="BK31" i="11" a="1"/>
  <c r="K32" i="11" a="1"/>
  <c r="F28" i="11" a="1"/>
  <c r="F31" i="11" a="1"/>
  <c r="BE23" i="11" a="1"/>
  <c r="BK25" i="11" a="1"/>
  <c r="F25" i="11" a="1"/>
  <c r="BK40" i="11" a="1"/>
  <c r="BE29" i="11" a="1"/>
  <c r="F37" i="11" a="1"/>
  <c r="BK37" i="11" a="1"/>
  <c r="K41" i="11" a="1"/>
  <c r="F22" i="11" a="1"/>
  <c r="BK28" i="11" a="1"/>
  <c r="BE26" i="11" a="1"/>
  <c r="BE35" i="11" a="1"/>
  <c r="BE41" i="11" a="1"/>
  <c r="BK34" i="11" a="1"/>
  <c r="K26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<sst xmlns="http://schemas.openxmlformats.org/spreadsheetml/2006/main" count="566" uniqueCount="265">
  <si>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</si>
  <si>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</si>
  <si>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</si>
  <si>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</si>
  <si>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</si>
  <si>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</si>
  <si>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</si>
  <si>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</si>
  <si>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</si>
  <si>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</si>
  <si>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</si>
  <si>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</si>
  <si>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</si>
  <si>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</si>
  <si>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</si>
  <si>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</si>
  <si>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</si>
  <si>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</si>
  <si>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</si>
  <si>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</si>
  <si>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</si>
  <si>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</si>
  <si>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</si>
  <si>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</si>
  <si>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</si>
  <si>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</si>
  <si>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</si>
  <si>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</si>
  <si>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</si>
  <si>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</si>
  <si>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</si>
  <si>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</si>
  <si>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</si>
  <si>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</si>
  <si>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</si>
  <si>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</si>
  <si>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</si>
  <si>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</si>
  <si>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</si>
  <si>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</si>
  <si>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</si>
  <si>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</si>
  <si>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</si>
  <si>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</si>
  <si>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</si>
  <si>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</si>
  <si>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</si>
  <si>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</si>
  <si>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</si>
  <si>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</si>
  <si>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</si>
  <si>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</si>
  <si>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</si>
  <si>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</si>
  <si>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</si>
  <si>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</si>
  <si>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</si>
  <si>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</si>
  <si>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</si>
  <si>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</si>
  <si>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</si>
  <si>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</si>
  <si>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</si>
  <si>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</si>
  <si>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</si>
  <si>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</si>
  <si>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</si>
  <si>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</si>
  <si>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</si>
  <si>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</si>
  <si>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</si>
  <si>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</si>
  <si>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</si>
  <si>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</si>
  <si>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</si>
  <si>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</si>
  <si>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</si>
  <si>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</si>
  <si>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</si>
  <si>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</si>
  <si>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</si>
  <si>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</si>
  <si>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</si>
  <si>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</si>
  <si>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</si>
  <si>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</si>
  <si>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</si>
  <si>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</si>
  <si>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</si>
  <si>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</si>
  <si>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</si>
  <si>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</si>
  <si>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</si>
  <si>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</si>
  <si>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</si>
  <si>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</si>
  <si>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</si>
  <si>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</si>
  <si>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</si>
  <si>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</si>
  <si>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</si>
  <si>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</si>
  <si>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</si>
  <si>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</si>
  <si>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</si>
  <si>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</si>
  <si>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</si>
  <si>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</si>
  <si>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</si>
  <si>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</si>
  <si>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</si>
  <si>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</si>
  <si>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</si>
  <si>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</si>
  <si>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</si>
  <si>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</si>
  <si>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</si>
  <si>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</si>
  <si>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</si>
  <si>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</si>
  <si>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</si>
  <si>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</si>
  <si>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</si>
  <si>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</si>
  <si>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</si>
  <si>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</si>
  <si>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</si>
  <si>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</si>
  <si>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</si>
  <si>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</si>
  <si>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</si>
  <si>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</si>
  <si>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</si>
  <si>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</si>
  <si>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</si>
  <si>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</si>
  <si>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</si>
  <si>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</si>
  <si>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</si>
  <si>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</si>
  <si>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</si>
  <si>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</si>
  <si>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</si>
  <si>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</si>
  <si>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</si>
  <si>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</si>
  <si>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</si>
  <si>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</si>
  <si>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</si>
  <si>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</si>
  <si>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</si>
  <si>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</si>
  <si>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</si>
  <si>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</si>
  <si>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</si>
  <si>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</si>
  <si>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</si>
  <si>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</si>
  <si>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</si>
  <si>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</si>
  <si>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</si>
  <si>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</si>
  <si>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</si>
  <si>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</si>
  <si>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</si>
  <si>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</si>
  <si>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</si>
  <si>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</si>
  <si>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</si>
  <si>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</si>
  <si>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</si>
  <si>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</si>
  <si>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</si>
  <si>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</si>
  <si>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</si>
  <si>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</si>
  <si>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</si>
  <si>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</si>
  <si>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</si>
  <si>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</si>
  <si>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</si>
  <si>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</si>
  <si>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</si>
  <si>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</si>
  <si>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</si>
  <si>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</si>
  <si>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</si>
  <si>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</si>
  <si>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</si>
  <si>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</si>
  <si>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</si>
  <si>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</si>
  <si>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</si>
  <si>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</si>
  <si>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</si>
  <si>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</si>
  <si>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</si>
  <si>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</si>
  <si>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</si>
  <si>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</si>
  <si>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</si>
  <si>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</si>
  <si>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</si>
  <si>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</si>
  <si>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</si>
  <si>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</si>
  <si>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</si>
  <si>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</si>
  <si>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</si>
  <si>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</si>
  <si>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</si>
  <si>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</si>
  <si>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</si>
  <si>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</si>
  <si>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</si>
  <si>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</si>
  <si>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</si>
  <si>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</si>
  <si>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</si>
  <si>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</si>
  <si>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</si>
  <si>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</si>
  <si>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</si>
  <si>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</si>
  <si>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</si>
  <si>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</si>
  <si>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</si>
  <si>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</si>
  <si>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</si>
  <si>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</si>
  <si>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</si>
  <si>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</si>
  <si>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</si>
  <si>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</si>
  <si>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</si>
  <si>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</si>
  <si>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</si>
  <si>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</si>
  <si>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</si>
  <si>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</si>
  <si>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</si>
  <si>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</si>
  <si>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</si>
  <si>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</si>
  <si>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</si>
  <si>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</si>
  <si>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</si>
  <si>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</si>
  <si>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</si>
  <si>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</si>
  <si>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</si>
  <si>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</si>
  <si>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</si>
  <si>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</si>
  <si>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</si>
  <si>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Jurema</t>
  </si>
  <si>
    <t>Maria</t>
  </si>
  <si>
    <t>Alessandra</t>
  </si>
  <si>
    <t>Vidraceira</t>
  </si>
  <si>
    <t>KeyConjuge</t>
  </si>
  <si>
    <t>Rua Alamedas</t>
  </si>
  <si>
    <t>Cidade Nova</t>
  </si>
  <si>
    <t>Jaguaritaguá</t>
  </si>
  <si>
    <t>Cirlei</t>
  </si>
  <si>
    <t>NDependentes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</si>
</sst>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6"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M2" totalsRowShown="0">
  <autoFilter ref="A1:M2" xr:uid="{0FD0A3F6-7A0C-49AF-9E20-5A523DEBD191}"/>
  <sortState xmlns:xlrd2="http://schemas.microsoft.com/office/spreadsheetml/2017/richdata2" ref="A2:M2">
    <sortCondition ref="A1:A2"/>
  </sortState>
  <tableColumns count="13">
    <tableColumn id="1" xr3:uid="{7C73FD22-45FF-460E-BC58-669273AAB06B}" name="Key"/>
    <tableColumn id="2" xr3:uid="{95CF41B7-C3A0-4192-B1F6-46CD87A4788C}" name="KeyAssistido" dataDxfId="0"/>
    <tableColumn id="16" xr3:uid="{35474776-DB40-4D3F-9BDA-5EDE5291161C}" name="Logradouro"/>
    <tableColumn id="17" xr3:uid="{37B0D069-44E2-4D84-A1A7-21E92CF3A2AB}" name="Numero"/>
    <tableColumn id="18" xr3:uid="{480E6ED5-5CDE-4EBF-9037-85F8526C688E}" name="Bairro"/>
    <tableColumn id="19" xr3:uid="{7D0A0EC3-B587-454B-9539-7A1F21EEB07F}" name="Cidade" dataDxfId="25"/>
    <tableColumn id="20" xr3:uid="{4909ACF1-40FA-4CF7-B6D2-66230B554AB5}" name="DataSindicancia">
      <calculatedColumnFormula>TODAY()</calculatedColumnFormula>
    </tableColumn>
    <tableColumn id="21" xr3:uid="{C460051A-1A94-40C9-877D-A1E041E99EDB}" name="NomeVisitador"/>
    <tableColumn id="22" xr3:uid="{7B4BC43E-71F3-4383-8F71-06948113319E}" name="ParticipaProgGov?"/>
    <tableColumn id="23" xr3:uid="{639410A3-2A3B-48FE-A687-0D83E20C4236}" name="ProgGov"/>
    <tableColumn id="24" xr3:uid="{7E95CF3B-C2CD-4B5B-A90C-DE6C888D5CC3}" name="TipoMoradia"/>
    <tableColumn id="25" xr3:uid="{0B6DDB2B-5F7B-4C35-ABDD-7FED199DD1B4}" name="NDependentes"/>
    <tableColumn id="27" xr3:uid="{628FE335-0807-45FB-94C4-EE1A85843D05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3" totalsRowShown="0" headerRowDxfId="24" tableBorderDxfId="23">
  <autoFilter ref="A1:I3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2"/>
    <tableColumn id="8" xr3:uid="{3692651C-4D8A-4D18-820D-0CA629F413D1}" name="Jan" dataDxfId="21"/>
    <tableColumn id="9" xr3:uid="{1DA296C9-3C1F-4105-8AE6-2BCCFEDE2175}" name="Fev" dataDxfId="20"/>
    <tableColumn id="10" xr3:uid="{0D5481BA-3AE5-4172-922E-5321CD923C4C}" name="Mar" dataDxfId="19"/>
    <tableColumn id="11" xr3:uid="{43CDB5DF-2E1F-421B-9EC5-8F93F8DACAF5}" name="Abr" dataDxfId="18"/>
    <tableColumn id="12" xr3:uid="{D04A26DD-1318-4208-A1CB-279726E45685}" name="Mai" dataDxfId="17"/>
    <tableColumn id="13" xr3:uid="{E55555DD-9B07-4803-A857-C45478AD72CD}" name="Jun" dataDxfId="16"/>
    <tableColumn id="1" xr3:uid="{F8558262-87C2-43E0-A48C-159BB14311B5}" name="Jul" dataDxfId="15"/>
    <tableColumn id="3" xr3:uid="{DA358C54-86DB-4661-BEC3-EEDA75D2B78D}" name="Ago" dataDxfId="14"/>
    <tableColumn id="4" xr3:uid="{598C98A8-FA82-450B-BF95-189DFBD5D463}" name="Set" dataDxfId="13"/>
    <tableColumn id="5" xr3:uid="{81622C4F-6124-4E72-B2B0-5659AB4ACA48}" name="Out" dataDxfId="12"/>
    <tableColumn id="6" xr3:uid="{D4C17119-76C7-4B0E-A518-41F9972E3162}" name="Nov" dataDxfId="11"/>
    <tableColumn id="7" xr3:uid="{02524F18-A8AF-410A-AEC1-7E0751B0E45A}" name="Dez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4" totalsRowShown="0" headerRowDxfId="9" tableBorderDxfId="8">
  <autoFilter ref="A1:H4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7" totalsRowShown="0">
  <autoFilter ref="A1:F37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7"/>
    <tableColumn id="5" xr3:uid="{7937C30B-6471-4FB4-96E2-EBA4EC0D6A05}" name="KeyEscolaridade" dataDxfId="6"/>
    <tableColumn id="3" xr3:uid="{56466016-BC3B-4F3B-9119-C6EDB4737E88}" name="KeyParentesco" dataDxfId="5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4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3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2"/>
    <tableColumn id="4" xr3:uid="{6BE994B7-EF7B-4CCD-9108-5FD2AC9C88D9}" name="DataNascimentoParente" dataDxfId="1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238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7"/>
      <c r="W1" s="17"/>
      <c r="X1" s="18"/>
      <c r="Y1" s="18"/>
      <c r="Z1" s="18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7"/>
      <c r="W2" s="17"/>
      <c r="X2" s="18"/>
      <c r="Y2" s="18"/>
      <c r="Z2" s="18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7"/>
      <c r="W3" s="17"/>
      <c r="X3" s="18"/>
      <c r="Y3" s="18"/>
      <c r="Z3" s="18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7"/>
      <c r="W4" s="17"/>
      <c r="X4" s="18"/>
      <c r="Y4" s="18"/>
      <c r="Z4" s="18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7"/>
      <c r="W5" s="17"/>
      <c r="X5" s="18"/>
      <c r="Y5" s="18"/>
      <c r="Z5" s="18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7"/>
      <c r="W6" s="17"/>
      <c r="X6" s="18"/>
      <c r="Y6" s="18"/>
      <c r="Z6" s="18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7"/>
      <c r="W7" s="17"/>
      <c r="X7" s="18"/>
      <c r="Y7" s="18"/>
      <c r="Z7" s="18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8"/>
      <c r="W8" s="18"/>
      <c r="X8" s="18"/>
      <c r="Y8" s="18"/>
      <c r="Z8" s="18"/>
    </row>
    <row r="9" spans="1:2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6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6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6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"/>
  <dimension ref="A1:M2"/>
  <sheetViews>
    <sheetView workbookViewId="0">
      <selection activeCell="L3" sqref="L3"/>
    </sheetView>
  </sheetViews>
  <sheetFormatPr defaultRowHeight="15" x14ac:dyDescent="0.25"/>
  <cols>
    <col min="1" max="1" width="6.5703125" bestFit="1" customWidth="1"/>
    <col min="2" max="2" width="14.85546875" bestFit="1" customWidth="1"/>
    <col min="3" max="3" width="13.42578125" bestFit="1" customWidth="1"/>
    <col min="4" max="4" width="10.5703125" bestFit="1" customWidth="1"/>
    <col min="5" max="5" width="8.5703125" bestFit="1" customWidth="1"/>
    <col min="6" max="6" width="9.7109375" bestFit="1" customWidth="1"/>
    <col min="7" max="7" width="17.85546875" bestFit="1" customWidth="1"/>
    <col min="8" max="8" width="16.85546875" bestFit="1" customWidth="1"/>
    <col min="9" max="9" width="20" bestFit="1" customWidth="1"/>
    <col min="10" max="10" width="10.85546875" bestFit="1" customWidth="1"/>
    <col min="11" max="11" width="14.28515625" bestFit="1" customWidth="1"/>
    <col min="12" max="12" width="12.140625" bestFit="1" customWidth="1"/>
    <col min="13" max="13" width="16.5703125" bestFit="1" customWidth="1"/>
    <col min="16" max="16" width="10.42578125" bestFit="1" customWidth="1"/>
    <col min="18" max="18" width="12.140625" bestFit="1" customWidth="1"/>
    <col min="23" max="23" width="12.140625" bestFit="1" customWidth="1"/>
    <col min="24" max="24" width="23.140625" bestFit="1" customWidth="1"/>
  </cols>
  <sheetData>
    <row r="1" spans="1:13" x14ac:dyDescent="0.25">
      <c r="A1" t="s">
        <v>247</v>
      </c>
      <c r="B1" t="s">
        <v>245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264</v>
      </c>
      <c r="M1" t="s">
        <v>60</v>
      </c>
    </row>
    <row r="2" spans="1:13" x14ac:dyDescent="0.25">
      <c r="A2">
        <v>1</v>
      </c>
      <c r="B2" s="16">
        <v>2</v>
      </c>
      <c r="C2" t="s">
        <v>260</v>
      </c>
      <c r="D2">
        <v>453</v>
      </c>
      <c r="E2" t="s">
        <v>261</v>
      </c>
      <c r="F2" s="1" t="s">
        <v>262</v>
      </c>
      <c r="G2" s="1">
        <f ca="1">TODAY()</f>
        <v>46189</v>
      </c>
      <c r="H2" t="s">
        <v>263</v>
      </c>
      <c r="I2" t="b">
        <v>0</v>
      </c>
      <c r="K2">
        <v>1</v>
      </c>
      <c r="L2">
        <v>5</v>
      </c>
      <c r="M2" t="b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3"/>
  <sheetViews>
    <sheetView workbookViewId="0">
      <selection activeCell="I4" sqref="I4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  <c r="I1" s="27" t="s">
        <v>259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6" t="s">
        <v>236</v>
      </c>
      <c r="B1" s="16" t="s">
        <v>224</v>
      </c>
      <c r="C1" s="16" t="s">
        <v>225</v>
      </c>
      <c r="D1" s="16" t="s">
        <v>226</v>
      </c>
      <c r="E1" s="16" t="s">
        <v>227</v>
      </c>
      <c r="F1" s="16" t="s">
        <v>228</v>
      </c>
      <c r="G1" s="16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</row>
    <row r="2" spans="1:13" x14ac:dyDescent="0.25">
      <c r="A2">
        <v>1</v>
      </c>
      <c r="B2" s="16" t="b">
        <v>1</v>
      </c>
      <c r="C2" s="16" t="b">
        <v>0</v>
      </c>
      <c r="D2" s="16" t="b">
        <v>1</v>
      </c>
      <c r="E2" s="16" t="b">
        <v>0</v>
      </c>
      <c r="F2" s="16" t="b">
        <v>0</v>
      </c>
      <c r="G2" s="16" t="b">
        <v>1</v>
      </c>
      <c r="H2" s="16" t="b">
        <v>0</v>
      </c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</row>
    <row r="3" spans="1:13" x14ac:dyDescent="0.25">
      <c r="A3">
        <v>2</v>
      </c>
      <c r="B3" s="16" t="b">
        <v>0</v>
      </c>
      <c r="C3" s="16" t="b">
        <v>1</v>
      </c>
      <c r="D3" s="16" t="b">
        <v>1</v>
      </c>
      <c r="E3" s="16" t="b">
        <v>0</v>
      </c>
      <c r="F3" s="16" t="b">
        <v>0</v>
      </c>
      <c r="G3" s="16" t="b">
        <v>0</v>
      </c>
      <c r="H3" s="16" t="b">
        <v>0</v>
      </c>
      <c r="I3" s="16" t="b">
        <v>0</v>
      </c>
      <c r="J3" s="16" t="b">
        <v>0</v>
      </c>
      <c r="K3" s="16" t="b">
        <v>0</v>
      </c>
      <c r="L3" s="16" t="b">
        <v>0</v>
      </c>
      <c r="M3" s="16" t="b">
        <v>0</v>
      </c>
    </row>
    <row r="4" spans="1:13" x14ac:dyDescent="0.25">
      <c r="A4">
        <v>3</v>
      </c>
      <c r="B4" s="16" t="b">
        <v>1</v>
      </c>
      <c r="C4" s="16" t="b">
        <v>1</v>
      </c>
      <c r="D4" s="16" t="b">
        <v>1</v>
      </c>
      <c r="E4" s="16" t="b">
        <v>0</v>
      </c>
      <c r="F4" s="16" t="b">
        <v>0</v>
      </c>
      <c r="G4" s="16" t="b">
        <v>1</v>
      </c>
      <c r="H4" s="16" t="b">
        <v>0</v>
      </c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</row>
    <row r="5" spans="1:13" x14ac:dyDescent="0.25">
      <c r="A5">
        <v>4</v>
      </c>
      <c r="B5" s="16" t="b">
        <v>1</v>
      </c>
      <c r="C5" s="16" t="b">
        <v>1</v>
      </c>
      <c r="D5" s="16" t="b">
        <v>0</v>
      </c>
      <c r="E5" s="16" t="b">
        <v>0</v>
      </c>
      <c r="F5" s="16" t="b">
        <v>0</v>
      </c>
      <c r="G5" s="16" t="b">
        <v>0</v>
      </c>
      <c r="H5" s="16" t="b">
        <v>0</v>
      </c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</row>
    <row r="6" spans="1:13" x14ac:dyDescent="0.25">
      <c r="A6">
        <v>5</v>
      </c>
      <c r="B6" s="16" t="b">
        <v>1</v>
      </c>
      <c r="C6" s="16" t="b">
        <v>1</v>
      </c>
      <c r="D6" s="16" t="b">
        <v>1</v>
      </c>
      <c r="E6" s="16" t="b">
        <v>0</v>
      </c>
      <c r="F6" s="16" t="b">
        <v>0</v>
      </c>
      <c r="G6" s="16" t="b">
        <v>1</v>
      </c>
      <c r="H6" s="16" t="b">
        <v>0</v>
      </c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</row>
    <row r="7" spans="1:13" x14ac:dyDescent="0.25">
      <c r="A7">
        <v>6</v>
      </c>
      <c r="B7" s="16" t="b">
        <v>1</v>
      </c>
      <c r="C7" s="16" t="b">
        <v>0</v>
      </c>
      <c r="D7" s="16" t="b">
        <v>0</v>
      </c>
      <c r="E7" s="16" t="b">
        <v>0</v>
      </c>
      <c r="F7" s="16" t="b">
        <v>0</v>
      </c>
      <c r="G7" s="16" t="b">
        <v>0</v>
      </c>
      <c r="H7" s="16" t="b">
        <v>0</v>
      </c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</row>
    <row r="8" spans="1:13" x14ac:dyDescent="0.25">
      <c r="A8">
        <v>7</v>
      </c>
      <c r="B8" s="16" t="b">
        <v>1</v>
      </c>
      <c r="C8" s="16" t="b">
        <v>1</v>
      </c>
      <c r="D8" s="16" t="b">
        <v>1</v>
      </c>
      <c r="E8" s="16" t="b">
        <v>0</v>
      </c>
      <c r="F8" s="16" t="b">
        <v>0</v>
      </c>
      <c r="G8" s="16" t="b">
        <v>0</v>
      </c>
      <c r="H8" s="16" t="b">
        <v>0</v>
      </c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</row>
    <row r="9" spans="1:13" x14ac:dyDescent="0.25">
      <c r="A9">
        <v>8</v>
      </c>
      <c r="B9" s="16" t="b">
        <v>1</v>
      </c>
      <c r="C9" s="16" t="b">
        <v>0</v>
      </c>
      <c r="D9" s="16" t="b">
        <v>1</v>
      </c>
      <c r="E9" s="16" t="b">
        <v>0</v>
      </c>
      <c r="F9" s="16" t="b">
        <v>0</v>
      </c>
      <c r="G9" s="16" t="b">
        <v>1</v>
      </c>
      <c r="H9" s="16" t="b">
        <v>0</v>
      </c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</row>
    <row r="10" spans="1:13" x14ac:dyDescent="0.25">
      <c r="A10">
        <v>9</v>
      </c>
      <c r="B10" s="16" t="b">
        <v>0</v>
      </c>
      <c r="C10" s="16" t="b">
        <v>0</v>
      </c>
      <c r="D10" s="16" t="b">
        <v>0</v>
      </c>
      <c r="E10" s="16" t="b">
        <v>0</v>
      </c>
      <c r="F10" s="16" t="b">
        <v>0</v>
      </c>
      <c r="G10" s="16" t="b">
        <v>1</v>
      </c>
      <c r="H10" s="16" t="b">
        <v>0</v>
      </c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</row>
    <row r="11" spans="1:13" x14ac:dyDescent="0.25">
      <c r="A11" s="16">
        <v>10</v>
      </c>
      <c r="B11" s="16" t="b">
        <v>0</v>
      </c>
      <c r="C11" s="16" t="b">
        <v>0</v>
      </c>
      <c r="D11" s="16" t="b">
        <v>0</v>
      </c>
      <c r="E11" s="16" t="b">
        <v>0</v>
      </c>
      <c r="F11" s="16" t="b">
        <v>0</v>
      </c>
      <c r="G11" s="16" t="b">
        <v>1</v>
      </c>
      <c r="H11" s="16" t="b">
        <v>0</v>
      </c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239</v>
      </c>
      <c r="B1" t="s">
        <v>240</v>
      </c>
    </row>
    <row r="2" spans="1:2" x14ac:dyDescent="0.25">
      <c r="A2" t="s">
        <v>224</v>
      </c>
      <c r="B2">
        <f>COUNTIF(Acompanhamento[Jan],TRUE)</f>
        <v>7</v>
      </c>
    </row>
    <row r="3" spans="1:2" x14ac:dyDescent="0.25">
      <c r="A3" t="s">
        <v>225</v>
      </c>
      <c r="B3">
        <f>COUNTIF(Acompanhamento[Fev],TRUE)</f>
        <v>5</v>
      </c>
    </row>
    <row r="4" spans="1:2" x14ac:dyDescent="0.25">
      <c r="A4" t="s">
        <v>226</v>
      </c>
      <c r="B4">
        <f>COUNTIF(Acompanhamento[Mar],TRUE)</f>
        <v>6</v>
      </c>
    </row>
    <row r="5" spans="1:2" x14ac:dyDescent="0.25">
      <c r="A5" t="s">
        <v>227</v>
      </c>
      <c r="B5">
        <f>COUNTIF(Acompanhamento[Abr],TRUE)</f>
        <v>0</v>
      </c>
    </row>
    <row r="6" spans="1:2" x14ac:dyDescent="0.25">
      <c r="A6" t="s">
        <v>228</v>
      </c>
      <c r="B6">
        <f>COUNTIF(Acompanhamento[Mai],TRUE)</f>
        <v>0</v>
      </c>
    </row>
    <row r="7" spans="1:2" x14ac:dyDescent="0.25">
      <c r="A7" t="s">
        <v>229</v>
      </c>
      <c r="B7">
        <f>COUNTIF(Acompanhamento[Jun],TRUE)</f>
        <v>6</v>
      </c>
    </row>
    <row r="8" spans="1:2" x14ac:dyDescent="0.25">
      <c r="A8" t="s">
        <v>230</v>
      </c>
      <c r="B8">
        <f>COUNTIF(Acompanhamento[Jul],TRUE)</f>
        <v>0</v>
      </c>
    </row>
    <row r="9" spans="1:2" x14ac:dyDescent="0.25">
      <c r="A9" t="s">
        <v>231</v>
      </c>
      <c r="B9">
        <f>COUNTIF(Acompanhamento[Ago],TRUE)</f>
        <v>0</v>
      </c>
    </row>
    <row r="10" spans="1:2" x14ac:dyDescent="0.25">
      <c r="A10" t="s">
        <v>232</v>
      </c>
      <c r="B10">
        <f>COUNTIF(Acompanhamento[Set],TRUE)</f>
        <v>0</v>
      </c>
    </row>
    <row r="11" spans="1:2" x14ac:dyDescent="0.25">
      <c r="A11" t="s">
        <v>233</v>
      </c>
      <c r="B11">
        <f>COUNTIF(Acompanhamento[Out],TRUE)</f>
        <v>0</v>
      </c>
    </row>
    <row r="12" spans="1:2" x14ac:dyDescent="0.25">
      <c r="A12" t="s">
        <v>234</v>
      </c>
      <c r="B12">
        <f>COUNTIF(Acompanhamento[Nov],TRUE)</f>
        <v>0</v>
      </c>
    </row>
    <row r="13" spans="1:2" x14ac:dyDescent="0.25">
      <c r="A13" t="s">
        <v>235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4"/>
  <sheetViews>
    <sheetView workbookViewId="0">
      <selection activeCell="D14" sqref="D14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5" t="s">
        <v>247</v>
      </c>
      <c r="B1" s="25" t="s">
        <v>248</v>
      </c>
      <c r="C1" s="26" t="s">
        <v>249</v>
      </c>
      <c r="D1" s="26" t="s">
        <v>250</v>
      </c>
      <c r="E1" s="26" t="s">
        <v>251</v>
      </c>
      <c r="F1" s="26" t="s">
        <v>252</v>
      </c>
      <c r="G1" s="26" t="s">
        <v>253</v>
      </c>
      <c r="H1" s="26" t="s">
        <v>254</v>
      </c>
    </row>
    <row r="2" spans="1:8" x14ac:dyDescent="0.25">
      <c r="A2">
        <v>1</v>
      </c>
      <c r="B2" t="s">
        <v>255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256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8" x14ac:dyDescent="0.25">
      <c r="A4">
        <v>3</v>
      </c>
      <c r="B4" t="s">
        <v>257</v>
      </c>
      <c r="C4" s="1">
        <v>40408</v>
      </c>
      <c r="D4">
        <v>6</v>
      </c>
      <c r="E4">
        <v>2</v>
      </c>
      <c r="F4" t="s">
        <v>258</v>
      </c>
      <c r="G4">
        <v>45609812378</v>
      </c>
      <c r="H4">
        <v>31962430936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7"/>
  <sheetViews>
    <sheetView tabSelected="1" topLeftCell="A22" workbookViewId="0">
      <selection activeCell="E10" sqref="E10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247</v>
      </c>
      <c r="B1" t="s">
        <v>65</v>
      </c>
      <c r="C1" t="s">
        <v>63</v>
      </c>
      <c r="D1" s="16" t="s">
        <v>243</v>
      </c>
      <c r="E1" s="16" t="s">
        <v>244</v>
      </c>
      <c r="F1" t="s">
        <v>245</v>
      </c>
    </row>
    <row r="2" spans="1:6" x14ac:dyDescent="0.25">
      <c r="A2">
        <v>1</v>
      </c>
      <c r="B2" t="s">
        <v>176</v>
      </c>
      <c r="C2" s="1">
        <v>38482</v>
      </c>
      <c r="D2" s="16" t="s">
        <v>10</v>
      </c>
      <c r="E2" s="16" t="s">
        <v>33</v>
      </c>
    </row>
    <row r="3" spans="1:6" x14ac:dyDescent="0.25">
      <c r="A3">
        <v>2</v>
      </c>
      <c r="B3" t="s">
        <v>177</v>
      </c>
      <c r="C3" s="1">
        <v>39682</v>
      </c>
      <c r="D3" s="16" t="s">
        <v>9</v>
      </c>
      <c r="E3" s="16" t="s">
        <v>33</v>
      </c>
    </row>
    <row r="4" spans="1:6" x14ac:dyDescent="0.25">
      <c r="A4">
        <v>3</v>
      </c>
      <c r="B4" t="s">
        <v>178</v>
      </c>
      <c r="C4" s="1">
        <v>40922</v>
      </c>
      <c r="D4" s="16" t="s">
        <v>8</v>
      </c>
      <c r="E4" s="16" t="s">
        <v>33</v>
      </c>
    </row>
    <row r="5" spans="1:6" x14ac:dyDescent="0.25">
      <c r="A5">
        <v>4</v>
      </c>
      <c r="B5" t="s">
        <v>183</v>
      </c>
      <c r="C5" s="1">
        <v>36689</v>
      </c>
      <c r="D5" s="16" t="s">
        <v>11</v>
      </c>
      <c r="E5" s="16" t="s">
        <v>33</v>
      </c>
    </row>
    <row r="6" spans="1:6" x14ac:dyDescent="0.25">
      <c r="A6">
        <v>5</v>
      </c>
      <c r="B6" t="s">
        <v>184</v>
      </c>
      <c r="C6" s="1">
        <v>37871</v>
      </c>
      <c r="D6" s="16" t="s">
        <v>10</v>
      </c>
      <c r="E6" s="16" t="s">
        <v>33</v>
      </c>
    </row>
    <row r="7" spans="1:6" x14ac:dyDescent="0.25">
      <c r="A7">
        <v>6</v>
      </c>
      <c r="B7" t="s">
        <v>185</v>
      </c>
      <c r="C7" s="1">
        <v>39446</v>
      </c>
      <c r="D7" s="16" t="s">
        <v>9</v>
      </c>
      <c r="E7" s="16" t="s">
        <v>33</v>
      </c>
    </row>
    <row r="8" spans="1:6" x14ac:dyDescent="0.25">
      <c r="A8">
        <v>7</v>
      </c>
      <c r="B8" t="s">
        <v>186</v>
      </c>
      <c r="C8" s="1">
        <v>40252</v>
      </c>
      <c r="D8" s="16" t="s">
        <v>8</v>
      </c>
      <c r="E8" s="16" t="s">
        <v>33</v>
      </c>
    </row>
    <row r="9" spans="1:6" x14ac:dyDescent="0.25">
      <c r="A9">
        <v>8</v>
      </c>
      <c r="B9" t="s">
        <v>187</v>
      </c>
      <c r="C9" s="1">
        <v>39489</v>
      </c>
      <c r="D9" s="16" t="s">
        <v>8</v>
      </c>
      <c r="E9" s="16" t="s">
        <v>33</v>
      </c>
    </row>
    <row r="10" spans="1:6" x14ac:dyDescent="0.25">
      <c r="A10">
        <v>9</v>
      </c>
      <c r="B10" t="s">
        <v>188</v>
      </c>
      <c r="C10" s="1">
        <v>40722</v>
      </c>
      <c r="D10" s="16" t="s">
        <v>8</v>
      </c>
      <c r="E10" s="16" t="s">
        <v>33</v>
      </c>
    </row>
    <row r="11" spans="1:6" x14ac:dyDescent="0.25">
      <c r="A11">
        <v>10</v>
      </c>
      <c r="B11" t="s">
        <v>189</v>
      </c>
      <c r="C11" s="1">
        <v>31152</v>
      </c>
      <c r="D11" s="16" t="s">
        <v>12</v>
      </c>
      <c r="E11" s="16" t="s">
        <v>33</v>
      </c>
    </row>
    <row r="12" spans="1:6" x14ac:dyDescent="0.25">
      <c r="A12">
        <v>11</v>
      </c>
      <c r="B12" t="s">
        <v>190</v>
      </c>
      <c r="C12" s="1">
        <v>32347</v>
      </c>
      <c r="D12" s="16" t="s">
        <v>14</v>
      </c>
      <c r="E12" s="16" t="s">
        <v>33</v>
      </c>
    </row>
    <row r="13" spans="1:6" x14ac:dyDescent="0.25">
      <c r="A13">
        <v>12</v>
      </c>
      <c r="B13" t="s">
        <v>191</v>
      </c>
      <c r="C13" s="1">
        <v>40461</v>
      </c>
      <c r="D13" s="16" t="s">
        <v>8</v>
      </c>
      <c r="E13" s="16" t="s">
        <v>34</v>
      </c>
    </row>
    <row r="14" spans="1:6" x14ac:dyDescent="0.25">
      <c r="A14">
        <v>13</v>
      </c>
      <c r="B14" t="s">
        <v>192</v>
      </c>
      <c r="C14" s="1">
        <v>36057</v>
      </c>
      <c r="D14" s="16">
        <v>5</v>
      </c>
      <c r="E14" s="16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6">
        <v>8</v>
      </c>
      <c r="E15" s="16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6">
        <v>2</v>
      </c>
      <c r="E16" s="16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6">
        <v>10</v>
      </c>
      <c r="E17" s="16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6" t="s">
        <v>9</v>
      </c>
      <c r="E18" s="16" t="s">
        <v>33</v>
      </c>
    </row>
    <row r="19" spans="1:6" x14ac:dyDescent="0.25">
      <c r="A19">
        <v>18</v>
      </c>
      <c r="B19" t="s">
        <v>197</v>
      </c>
      <c r="C19" s="1">
        <v>40574</v>
      </c>
      <c r="D19" s="16" t="s">
        <v>8</v>
      </c>
      <c r="E19" s="16" t="s">
        <v>33</v>
      </c>
    </row>
    <row r="20" spans="1:6" x14ac:dyDescent="0.25">
      <c r="A20">
        <v>19</v>
      </c>
      <c r="B20" t="s">
        <v>198</v>
      </c>
      <c r="C20" s="1">
        <v>20242</v>
      </c>
      <c r="D20" s="16" t="s">
        <v>8</v>
      </c>
      <c r="E20" s="16" t="s">
        <v>36</v>
      </c>
    </row>
    <row r="21" spans="1:6" x14ac:dyDescent="0.25">
      <c r="A21">
        <v>20</v>
      </c>
      <c r="B21" t="s">
        <v>199</v>
      </c>
      <c r="C21" s="1">
        <v>26613</v>
      </c>
      <c r="D21" s="16" t="s">
        <v>11</v>
      </c>
      <c r="E21" s="16" t="s">
        <v>33</v>
      </c>
    </row>
    <row r="22" spans="1:6" x14ac:dyDescent="0.25">
      <c r="A22">
        <v>21</v>
      </c>
      <c r="B22" t="s">
        <v>200</v>
      </c>
      <c r="C22" s="1">
        <v>34867</v>
      </c>
      <c r="D22" s="16" t="s">
        <v>12</v>
      </c>
      <c r="E22" s="16" t="s">
        <v>34</v>
      </c>
    </row>
    <row r="23" spans="1:6" x14ac:dyDescent="0.25">
      <c r="A23">
        <v>22</v>
      </c>
      <c r="B23" t="s">
        <v>201</v>
      </c>
      <c r="C23" s="1">
        <v>36042</v>
      </c>
      <c r="D23" s="16" t="s">
        <v>13</v>
      </c>
      <c r="E23" s="16" t="s">
        <v>34</v>
      </c>
    </row>
    <row r="24" spans="1:6" x14ac:dyDescent="0.25">
      <c r="A24">
        <v>23</v>
      </c>
      <c r="B24" t="s">
        <v>202</v>
      </c>
      <c r="C24" s="1">
        <v>43144</v>
      </c>
      <c r="D24" s="16" t="s">
        <v>7</v>
      </c>
      <c r="E24" s="16" t="s">
        <v>35</v>
      </c>
    </row>
    <row r="25" spans="1:6" x14ac:dyDescent="0.25">
      <c r="A25">
        <v>24</v>
      </c>
      <c r="B25" t="s">
        <v>203</v>
      </c>
      <c r="C25" s="1">
        <v>11441</v>
      </c>
      <c r="D25" s="16" t="s">
        <v>7</v>
      </c>
      <c r="E25" s="16" t="s">
        <v>37</v>
      </c>
    </row>
    <row r="26" spans="1:6" x14ac:dyDescent="0.25">
      <c r="A26">
        <v>25</v>
      </c>
      <c r="B26" t="s">
        <v>179</v>
      </c>
      <c r="C26" s="1">
        <v>42066</v>
      </c>
      <c r="D26" s="16">
        <v>4</v>
      </c>
      <c r="E26" s="16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6">
        <v>10</v>
      </c>
      <c r="E27" s="16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6" t="s">
        <v>8</v>
      </c>
      <c r="E28" s="16" t="s">
        <v>33</v>
      </c>
    </row>
    <row r="29" spans="1:6" x14ac:dyDescent="0.25">
      <c r="A29">
        <v>28</v>
      </c>
      <c r="B29" t="s">
        <v>181</v>
      </c>
      <c r="C29" s="1">
        <v>41603</v>
      </c>
      <c r="D29" s="16" t="s">
        <v>8</v>
      </c>
      <c r="E29" s="16" t="s">
        <v>33</v>
      </c>
    </row>
    <row r="30" spans="1:6" x14ac:dyDescent="0.25">
      <c r="A30">
        <v>29</v>
      </c>
      <c r="B30" t="s">
        <v>182</v>
      </c>
      <c r="C30" s="1">
        <v>42462</v>
      </c>
      <c r="D30" s="16" t="s">
        <v>7</v>
      </c>
      <c r="E30" s="16" t="s">
        <v>33</v>
      </c>
    </row>
    <row r="31" spans="1:6" x14ac:dyDescent="0.25">
      <c r="A31">
        <v>30</v>
      </c>
      <c r="B31" t="s">
        <v>242</v>
      </c>
      <c r="C31" s="1">
        <v>35533</v>
      </c>
      <c r="D31" s="16" t="s">
        <v>11</v>
      </c>
      <c r="E31" s="16" t="s">
        <v>33</v>
      </c>
    </row>
    <row r="32" spans="1:6" x14ac:dyDescent="0.25">
      <c r="A32">
        <v>31</v>
      </c>
      <c r="B32" t="s">
        <v>242</v>
      </c>
      <c r="C32" s="1">
        <v>35533</v>
      </c>
      <c r="D32" s="16" t="s">
        <v>11</v>
      </c>
      <c r="E32" s="16" t="s">
        <v>33</v>
      </c>
    </row>
    <row r="33" spans="1:6" x14ac:dyDescent="0.25">
      <c r="A33">
        <v>32</v>
      </c>
      <c r="B33" t="s">
        <v>242</v>
      </c>
      <c r="C33" s="1">
        <v>35533</v>
      </c>
      <c r="D33" s="16">
        <v>5</v>
      </c>
      <c r="E33" s="16">
        <v>1</v>
      </c>
    </row>
    <row r="34" spans="1:6" x14ac:dyDescent="0.25">
      <c r="A34">
        <v>33</v>
      </c>
      <c r="B34" t="s">
        <v>242</v>
      </c>
      <c r="C34" s="1">
        <v>36221</v>
      </c>
      <c r="D34" s="16">
        <v>4</v>
      </c>
      <c r="E34" s="16">
        <v>8</v>
      </c>
      <c r="F34">
        <v>1</v>
      </c>
    </row>
    <row r="35" spans="1:6" x14ac:dyDescent="0.25">
      <c r="A35">
        <v>34</v>
      </c>
      <c r="B35" t="s">
        <v>242</v>
      </c>
      <c r="C35" s="1">
        <v>36221</v>
      </c>
      <c r="D35" s="16">
        <v>4</v>
      </c>
      <c r="E35" s="16">
        <v>8</v>
      </c>
      <c r="F35">
        <v>2</v>
      </c>
    </row>
    <row r="36" spans="1:6" x14ac:dyDescent="0.25">
      <c r="A36">
        <v>35</v>
      </c>
      <c r="B36" t="s">
        <v>242</v>
      </c>
      <c r="C36" s="1">
        <v>35533</v>
      </c>
      <c r="D36" s="16">
        <v>5</v>
      </c>
      <c r="E36" s="16">
        <v>1</v>
      </c>
      <c r="F36">
        <v>0</v>
      </c>
    </row>
    <row r="37" spans="1:6" x14ac:dyDescent="0.25">
      <c r="A37">
        <v>36</v>
      </c>
      <c r="B37" t="s">
        <v>242</v>
      </c>
      <c r="C37" s="1">
        <v>35533</v>
      </c>
      <c r="D37" s="16">
        <v>5</v>
      </c>
      <c r="E37" s="16">
        <v>1</v>
      </c>
      <c r="F37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 t="str">
        <f>IFERROR(VLOOKUP(NomeAssistido,CADASTROS[],MATCH("DataNascimentoAssistido",CADASTROS[#Headers],0),0), "------")</f>
        <v>------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------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------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------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------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------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------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 t="str">
        <f>IFERROR(VLOOKUP(NomeAssistido, CADASTROS[], MATCH("DataNascimentoConjuge", CADASTROS[#Headers], 0), 0), "------")</f>
        <v>------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------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------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------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------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------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-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>-</v>
      </c>
      <c r="K18" t="s">
        <v>74</v>
      </c>
      <c r="L18" s="15" t="s">
        <v>76</v>
      </c>
      <c r="P18" s="9" t="s">
        <v>77</v>
      </c>
      <c r="U18" s="21" t="str">
        <f>IFERROR(VLOOKUP(NomeAssistido, CADASTROS[], MATCH("ProgGov", CADASTROS[#Headers], 0), 0), "------")</f>
        <v>------</v>
      </c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2"/>
      <c r="AW18" s="22"/>
      <c r="AX18" s="22"/>
      <c r="AY18" s="22"/>
      <c r="AZ18" s="22"/>
      <c r="BA18" s="22"/>
      <c r="BB18" s="22"/>
      <c r="BC18" t="s">
        <v>73</v>
      </c>
      <c r="BD18" s="14" t="str">
        <f>IFERROR(IF(VLOOKUP(NomeAssistido, CADASTROS[], MATCH("RecebeCesta?", CADASTROS[#Headers], 0), 0), "X", ""), "-")</f>
        <v>-</v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-</v>
      </c>
      <c r="BL18" t="s">
        <v>74</v>
      </c>
      <c r="BM18" s="15" t="s">
        <v>76</v>
      </c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------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 t="str">
        <f>IFERROR(VLOOKUP(NomeAssistido, CADASTROS[], MATCH("NPessoas", CADASTROS[#Headers], 0), 0), "------")</f>
        <v>------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------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------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12"/>
      <c r="AW42" s="6"/>
      <c r="AX42" s="6"/>
      <c r="AY42" s="6"/>
      <c r="AZ42" s="6"/>
      <c r="BA42" s="6"/>
      <c r="BB42" s="6"/>
      <c r="BC42" s="6"/>
      <c r="BD42" s="6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</row>
    <row r="43" spans="1:77" x14ac:dyDescent="0.25">
      <c r="A43" s="12" t="s">
        <v>241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------</v>
      </c>
      <c r="J43" s="4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24"/>
      <c r="AW43" s="4"/>
      <c r="AX43" s="4"/>
      <c r="AY43" s="4"/>
      <c r="AZ43" s="4"/>
      <c r="BA43" s="4"/>
      <c r="BB43" s="4"/>
      <c r="BC43" s="4"/>
      <c r="BD43" s="4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 t="str">
        <f>IFERROR(VLOOKUP(NomeAssistido, CADASTROS[], MATCH("DataSindicancia", CADASTROS[#Headers], 0), 0), "------")</f>
        <v>------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------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2026-06-17T02:13:01Z</dcterms:modified>
</cp:coreProperties>
</file>