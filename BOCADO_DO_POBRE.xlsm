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32d1f0b7511437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alsglobal-my.sharepoint.com/personal/victor_couto_alsglobal_com/Documents/Desktop/Em andamento/repo/bocado_do_pobre/"/>
    </mc:Choice>
  </mc:AlternateContent>
  <xr:revisionPtr revIDLastSave="532" documentId="14_{99C30D5E-707F-4DBC-83FD-C0930369E172}" xr6:coauthVersionLast="47" xr6:coauthVersionMax="47" xr10:uidLastSave="{886FE453-54BD-4807-B4DC-9868CA7AB9E1}"/>
  <bookViews>
    <workbookView xWindow="-120" yWindow="-120" windowWidth="20730" windowHeight="11040" tabRatio="890" activeTab="1" xr2:uid="{FD1134B4-C37A-482C-B875-A4A14024FB80}"/>
  </bookViews>
  <sheets>
    <sheet name="MENU" sheetId="1" r:id="rId1"/>
    <sheet name="CADASTRO" sheetId="10" r:id="rId2"/>
    <sheet name="ASSISTIDO" sheetId="17" r:id="rId3"/>
    <sheet name="ACOMPANHAMENTO" sheetId="14" state="hidden" r:id="rId4"/>
    <sheet name="TABELAS_AUXILIARES" sheetId="16" state="hidden" r:id="rId5"/>
    <sheet name="CONJUGE" sheetId="19" r:id="rId6"/>
    <sheet name="DEPENDENTE" sheetId="5" r:id="rId7"/>
    <sheet name="DADOS_DE_TESTE" sheetId="12" state="hidden" r:id="rId8"/>
    <sheet name="GRAUS_PARENTESCO" sheetId="9" r:id="rId9"/>
    <sheet name="FICHA_CADASTRAL" sheetId="11" r:id="rId10"/>
    <sheet name="TIPO_MORADIA" sheetId="8" r:id="rId11"/>
    <sheet name="ESTADOS_CIVIS" sheetId="3" r:id="rId12"/>
    <sheet name="ESCOLARIDADES" sheetId="4" r:id="rId13"/>
    <sheet name="PROFISSOES" sheetId="6" state="hidden" r:id="rId14"/>
    <sheet name="PROGRAMAS_GOV" sheetId="7" state="hidden" r:id="rId15"/>
  </sheets>
  <functionGroups builtInGroupCount="19"/>
  <definedNames>
    <definedName name="_xleta.IF" hidden="1" xlm="1">#NAME?</definedName>
    <definedName name="CamposParentesDocumento">FICHA_CADASTRAL!$A$22:$BY$23</definedName>
    <definedName name="Espaco1">FICHA_CADASTRAL!$A$22</definedName>
    <definedName name="Espaco2">FICHA_CADASTRAL!$A$25</definedName>
    <definedName name="Espaco3">FICHA_CADASTRAL!$A$28</definedName>
    <definedName name="Espaco4">FICHA_CADASTRAL!$A$31</definedName>
    <definedName name="Espaco5">FICHA_CADASTRAL!$A$34</definedName>
    <definedName name="Espaco6">FICHA_CADASTRAL!$A$37</definedName>
    <definedName name="Espaco7">FICHA_CADASTRAL!$A$40</definedName>
    <definedName name="keyParentes" localSheetId="5">VLOOKUP([0]!NomeAssistido, CADASTROS[], MATCH("KeyParente", CADASTROS[#Headers], 0), 0)</definedName>
    <definedName name="keyParentes">VLOOKUP(NomeAssistido, CADASTROS[], MATCH("KeyParente", CADASTROS[#Headers], 0), 0)</definedName>
    <definedName name="NomeAssistido">FICHA_CADASTRAL!$F$5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0" l="1"/>
  <c r="I43" i="11"/>
  <c r="B13" i="16"/>
  <c r="B12" i="16"/>
  <c r="B11" i="16"/>
  <c r="B10" i="16"/>
  <c r="B9" i="16"/>
  <c r="B8" i="16"/>
  <c r="B7" i="16"/>
  <c r="B6" i="16"/>
  <c r="B5" i="16"/>
  <c r="B4" i="16"/>
  <c r="B3" i="16"/>
  <c r="B2" i="16"/>
  <c r="AU14" i="11"/>
  <c r="E14" i="11"/>
  <c r="AX13" i="11"/>
  <c r="I13" i="11"/>
  <c r="AW12" i="11"/>
  <c r="P12" i="11"/>
  <c r="F11" i="11"/>
  <c r="AM54" i="11"/>
  <c r="J54" i="11"/>
  <c r="BP20" i="11"/>
  <c r="M20" i="11"/>
  <c r="U18" i="11"/>
  <c r="BD18" i="11"/>
  <c r="BK18" i="11" s="1"/>
  <c r="C18" i="11"/>
  <c r="J18" i="11" s="1"/>
  <c r="AU8" i="11"/>
  <c r="E8" i="11"/>
  <c r="AX7" i="11"/>
  <c r="I7" i="11"/>
  <c r="AW6" i="11"/>
  <c r="P6" i="11"/>
  <c r="F34" i="11" a="1"/>
  <c r="BE32" i="11" a="1"/>
  <c r="K29" i="11" a="1"/>
  <c r="BK22" i="11" a="1"/>
  <c r="K23" i="11" a="1"/>
  <c r="BE38" i="11" a="1"/>
  <c r="F40" i="11" a="1"/>
  <c r="K35" i="11" a="1"/>
  <c r="K38" i="11" a="1"/>
  <c r="BK31" i="11" a="1"/>
  <c r="K32" i="11" a="1"/>
  <c r="F28" i="11" a="1"/>
  <c r="F31" i="11" a="1"/>
  <c r="BE23" i="11" a="1"/>
  <c r="BK25" i="11" a="1"/>
  <c r="F25" i="11" a="1"/>
  <c r="BK40" i="11" a="1"/>
  <c r="BE29" i="11" a="1"/>
  <c r="F37" i="11" a="1"/>
  <c r="BK37" i="11" a="1"/>
  <c r="K41" i="11" a="1"/>
  <c r="F22" i="11" a="1"/>
  <c r="BK28" i="11" a="1"/>
  <c r="BE26" i="11" a="1"/>
  <c r="BE35" i="11" a="1"/>
  <c r="BE41" i="11" a="1"/>
  <c r="BK34" i="11" a="1"/>
  <c r="K26" i="11" a="1"/>
  <c r="K41" i="11" l="1"/>
  <c r="BE41" i="11"/>
  <c r="BK40" i="11"/>
  <c r="F40" i="11"/>
  <c r="BE38" i="11"/>
  <c r="BK37" i="11"/>
  <c r="K38" i="11"/>
  <c r="F37" i="11"/>
  <c r="K35" i="11"/>
  <c r="BE35" i="11"/>
  <c r="BK34" i="11"/>
  <c r="F34" i="11"/>
  <c r="BE32" i="11"/>
  <c r="BK31" i="11"/>
  <c r="K32" i="11"/>
  <c r="F31" i="11"/>
  <c r="BE29" i="11"/>
  <c r="K29" i="11"/>
  <c r="BK28" i="11"/>
  <c r="F28" i="11"/>
  <c r="BE26" i="11"/>
  <c r="BK25" i="11"/>
  <c r="K26" i="11"/>
  <c r="F25" i="11"/>
  <c r="BE23" i="11"/>
  <c r="K23" i="11"/>
  <c r="BK22" i="11"/>
  <c r="F22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<sst xmlns="http://schemas.openxmlformats.org/spreadsheetml/2006/main" count="566" uniqueCount="265">
  <si>
    <t>Estado Civil</t>
  </si>
  <si>
    <t>Casado(a)</t>
  </si>
  <si>
    <t>Solteiro(a)</t>
  </si>
  <si>
    <t>Separado(a) Judicialmente</t>
  </si>
  <si>
    <t>Divorciado(a)</t>
  </si>
  <si>
    <t>Viúvo(a)</t>
  </si>
  <si>
    <t>Escolaridade</t>
  </si>
  <si>
    <t>Analfabeto</t>
  </si>
  <si>
    <t>Ensino Fundamental Incompleto</t>
  </si>
  <si>
    <t>Ensino Fundamental Completo</t>
  </si>
  <si>
    <t>Ensino Médio Incompleto</t>
  </si>
  <si>
    <t>Ensino Médio Completo</t>
  </si>
  <si>
    <t>Curso Técnico</t>
  </si>
  <si>
    <t>Ensino Superior Incompleto</t>
  </si>
  <si>
    <t>Ensino Superior Completo</t>
  </si>
  <si>
    <t>Especialização</t>
  </si>
  <si>
    <t>Mestrado</t>
  </si>
  <si>
    <t>Doutorado</t>
  </si>
  <si>
    <t>Pós-Doutorado</t>
  </si>
  <si>
    <t>Tipo Moradia</t>
  </si>
  <si>
    <t>Profissões</t>
  </si>
  <si>
    <t>Programa Governamentais</t>
  </si>
  <si>
    <t>Pedreiro</t>
  </si>
  <si>
    <t>Carpinteiro</t>
  </si>
  <si>
    <t>Marceneiro</t>
  </si>
  <si>
    <t>Eletricista</t>
  </si>
  <si>
    <t>Encanador</t>
  </si>
  <si>
    <t>Serralheiro</t>
  </si>
  <si>
    <t>Consultor</t>
  </si>
  <si>
    <t>Própria</t>
  </si>
  <si>
    <t>Alugada</t>
  </si>
  <si>
    <t>Cedida</t>
  </si>
  <si>
    <t>Graus Parentesco</t>
  </si>
  <si>
    <t>Filho(a)</t>
  </si>
  <si>
    <t>Neto(a)</t>
  </si>
  <si>
    <t>Bisneto(a)</t>
  </si>
  <si>
    <t>Pai/Mãe</t>
  </si>
  <si>
    <t>Avô/Avó</t>
  </si>
  <si>
    <t>Bisavô/Bisavó</t>
  </si>
  <si>
    <t>Irmão(ã)</t>
  </si>
  <si>
    <t>Tio(a)</t>
  </si>
  <si>
    <t>Sobrinho(a)</t>
  </si>
  <si>
    <t>Primo(a)</t>
  </si>
  <si>
    <t>NomeAssistido</t>
  </si>
  <si>
    <t>DataNascimentoAssistido</t>
  </si>
  <si>
    <t>EstadoCivilAssistido</t>
  </si>
  <si>
    <t>ProfissaoAssistido</t>
  </si>
  <si>
    <t>EscolaridadeAssistido</t>
  </si>
  <si>
    <t>CPFAssistido</t>
  </si>
  <si>
    <t>TelefoneAssistido</t>
  </si>
  <si>
    <t>Logradouro</t>
  </si>
  <si>
    <t>Numero</t>
  </si>
  <si>
    <t>Bairro</t>
  </si>
  <si>
    <t>Cidade</t>
  </si>
  <si>
    <t>DataSindicancia</t>
  </si>
  <si>
    <t>NomeVisitador</t>
  </si>
  <si>
    <t>ParticipaProgGov?</t>
  </si>
  <si>
    <t>ProgGov</t>
  </si>
  <si>
    <t>TipoMoradia</t>
  </si>
  <si>
    <t>NPessoas</t>
  </si>
  <si>
    <t>RecebeCesta?</t>
  </si>
  <si>
    <t>KeyParente</t>
  </si>
  <si>
    <t>EscolaridadeParente</t>
  </si>
  <si>
    <t>DataNascimentoParente</t>
  </si>
  <si>
    <t>GrauParentescoParente</t>
  </si>
  <si>
    <t>NomeParente</t>
  </si>
  <si>
    <t>Profissão:</t>
  </si>
  <si>
    <t>Nome:</t>
  </si>
  <si>
    <t>Data de Nascimento:</t>
  </si>
  <si>
    <t>Estado Civil:</t>
  </si>
  <si>
    <t>Escolaridade:</t>
  </si>
  <si>
    <t>ASSISTIDO</t>
  </si>
  <si>
    <t xml:space="preserve">Participa de algum programa do Governo Federal? </t>
  </si>
  <si>
    <t>(</t>
  </si>
  <si>
    <t>)</t>
  </si>
  <si>
    <t>Sim</t>
  </si>
  <si>
    <t>Não</t>
  </si>
  <si>
    <t>Qual?</t>
  </si>
  <si>
    <t>CPF:</t>
  </si>
  <si>
    <t>Telefone:</t>
  </si>
  <si>
    <t>Recebe cesta básica de algum lugar?</t>
  </si>
  <si>
    <t>Tipo de moradia:</t>
  </si>
  <si>
    <t>Quantas pessoas moram na casa?</t>
  </si>
  <si>
    <t>DEMAIS INFORMAÇÕES</t>
  </si>
  <si>
    <t>Parentesco:</t>
  </si>
  <si>
    <t>AUTORIZAÇÃO DE USO DE DADOS</t>
  </si>
  <si>
    <t xml:space="preserve">Eu, </t>
  </si>
  <si>
    <t xml:space="preserve">, </t>
  </si>
  <si>
    <t>administrativos em atendiento a LPG(Lei de Proteção de Dados).</t>
  </si>
  <si>
    <t>Assinatura</t>
  </si>
  <si>
    <t xml:space="preserve">  portador(a) do CPF número</t>
  </si>
  <si>
    <t>, AUTORIZO   que a  associação  Giacomo  Cusmano (Bocado do Pobre)</t>
  </si>
  <si>
    <t>use meus dados pessoais  para os fins que se  fizerem necessários, como  cadastro de assistidos  e demais fins</t>
  </si>
  <si>
    <t>Sindicância:</t>
  </si>
  <si>
    <t>Visitador:</t>
  </si>
  <si>
    <t>NomeConjuge</t>
  </si>
  <si>
    <t>DataNascimentoConjuge</t>
  </si>
  <si>
    <t>EstadoCivilConjuge</t>
  </si>
  <si>
    <t>ProfissaoConjuge</t>
  </si>
  <si>
    <t>EscolaridadeConjuge</t>
  </si>
  <si>
    <t>CPFConjuge</t>
  </si>
  <si>
    <t>TelefoneConjuge</t>
  </si>
  <si>
    <t>CÔNJUGE</t>
  </si>
  <si>
    <t>Enteado(a)</t>
  </si>
  <si>
    <t>Cunhado(a)</t>
  </si>
  <si>
    <t>Outro</t>
  </si>
  <si>
    <t>Maria Aparecida Santos</t>
  </si>
  <si>
    <t>Diarista</t>
  </si>
  <si>
    <t>(31) 98721-4532</t>
  </si>
  <si>
    <t>José Carlos Santos</t>
  </si>
  <si>
    <t>(31) 97654-3210</t>
  </si>
  <si>
    <t>Rua das Flores</t>
  </si>
  <si>
    <t>Jardim Esperança</t>
  </si>
  <si>
    <t>Contagem</t>
  </si>
  <si>
    <t>Ana Paula Oliveira</t>
  </si>
  <si>
    <t>Bolsa Família</t>
  </si>
  <si>
    <t>Roberto Alves Ferreira</t>
  </si>
  <si>
    <t>Aposentado</t>
  </si>
  <si>
    <t>(31) 98834-5678</t>
  </si>
  <si>
    <t>Rua Sete de Setembro</t>
  </si>
  <si>
    <t>Vila Nova</t>
  </si>
  <si>
    <t>Betim</t>
  </si>
  <si>
    <t>Carlos Eduardo Lima</t>
  </si>
  <si>
    <t>Francisca Lima Souza</t>
  </si>
  <si>
    <t>Auxiliar de Limpeza</t>
  </si>
  <si>
    <t>(31) 99123-7654</t>
  </si>
  <si>
    <t>Avenida Brasil</t>
  </si>
  <si>
    <t>Santa Cruz</t>
  </si>
  <si>
    <t>BPC</t>
  </si>
  <si>
    <t>Antônio Pereira Costa</t>
  </si>
  <si>
    <t>Motorista</t>
  </si>
  <si>
    <t>(31) 98456-2301</t>
  </si>
  <si>
    <t>Rosana Costa Pereira</t>
  </si>
  <si>
    <t>Costureira</t>
  </si>
  <si>
    <t>(31) 97321-6540</t>
  </si>
  <si>
    <t>Rua Minas Gerais</t>
  </si>
  <si>
    <t>Eldorado</t>
  </si>
  <si>
    <t>Marcos Vinicius Rocha</t>
  </si>
  <si>
    <t>Solange Rodrigues Nunes</t>
  </si>
  <si>
    <t>Vendedora</t>
  </si>
  <si>
    <t>(31) 99876-5432</t>
  </si>
  <si>
    <t>Rua Tiradentes</t>
  </si>
  <si>
    <t>Novo Progresso</t>
  </si>
  <si>
    <t>Ribeirão das Neves</t>
  </si>
  <si>
    <t>Paulo Henrique Gomes</t>
  </si>
  <si>
    <t>(31) 98567-8901</t>
  </si>
  <si>
    <t>Marlene Gomes Silva</t>
  </si>
  <si>
    <t>Aposentada</t>
  </si>
  <si>
    <t>(31) 97890-1234</t>
  </si>
  <si>
    <t>Rua Palmeiras</t>
  </si>
  <si>
    <t>Jardim Industrial</t>
  </si>
  <si>
    <t>Luciana Ferreira Dias</t>
  </si>
  <si>
    <t>Desempregada</t>
  </si>
  <si>
    <t>(31) 99234-5670</t>
  </si>
  <si>
    <t>Rua Ipiranga</t>
  </si>
  <si>
    <t>Jardim Riacho</t>
  </si>
  <si>
    <t>Esmeraldas</t>
  </si>
  <si>
    <t>Edilson Nascimento Pinto</t>
  </si>
  <si>
    <t>Mecânico</t>
  </si>
  <si>
    <t>(31) 98345-6789</t>
  </si>
  <si>
    <t>Juliana Pinto Nascimento</t>
  </si>
  <si>
    <t>Recepcionista</t>
  </si>
  <si>
    <t>(31) 97456-7890</t>
  </si>
  <si>
    <t>Rua Goiás</t>
  </si>
  <si>
    <t>Centro</t>
  </si>
  <si>
    <t>Tereza Cristina Moura</t>
  </si>
  <si>
    <t>(31) 99567-8902</t>
  </si>
  <si>
    <t>Rua Bahia</t>
  </si>
  <si>
    <t>Jardim das Acácias</t>
  </si>
  <si>
    <t>Claudinho Barbosa Leal</t>
  </si>
  <si>
    <t>(31) 98678-9013</t>
  </si>
  <si>
    <t>Simone Leal Barbosa</t>
  </si>
  <si>
    <t>Cabeleireira</t>
  </si>
  <si>
    <t>(31) 97567-8901</t>
  </si>
  <si>
    <t>Rua São Paulo</t>
  </si>
  <si>
    <t>Vila Mariana</t>
  </si>
  <si>
    <t>Lucas Santos Silva</t>
  </si>
  <si>
    <t>Beatriz Santos Silva</t>
  </si>
  <si>
    <t>Gabriel Santos Silva</t>
  </si>
  <si>
    <t>Fernanda Alves Ferreira</t>
  </si>
  <si>
    <t>Miguel Lima Souza</t>
  </si>
  <si>
    <t>Sofia Lima Souza</t>
  </si>
  <si>
    <t>João Lima Souza</t>
  </si>
  <si>
    <t>Pedro Costa Pereira</t>
  </si>
  <si>
    <t>Ana Costa Pereira</t>
  </si>
  <si>
    <t>Carlos Costa Pereira</t>
  </si>
  <si>
    <t>Isabela Costa Pereira</t>
  </si>
  <si>
    <t>Thiago Rodrigues Nunes</t>
  </si>
  <si>
    <t>Camila Rodrigues Nunes</t>
  </si>
  <si>
    <t>Rogério Gomes Silva</t>
  </si>
  <si>
    <t>Patrícia Gomes Silva</t>
  </si>
  <si>
    <t>Henrique Gomes Silva</t>
  </si>
  <si>
    <t>Vitória Ferreira Dias</t>
  </si>
  <si>
    <t>Dona Conceição Ferreira</t>
  </si>
  <si>
    <t>Samuel Ferreira Dias</t>
  </si>
  <si>
    <t>Rebeca Ferreira Dias</t>
  </si>
  <si>
    <t>Laura Pinto Nascimento</t>
  </si>
  <si>
    <t>Mateus Pinto Nascimento</t>
  </si>
  <si>
    <t>Dona Célia Nascimento</t>
  </si>
  <si>
    <t>Aparecida Moura Souza</t>
  </si>
  <si>
    <t>Wilson Moura Pinto</t>
  </si>
  <si>
    <t>Eliane Moura Pinto</t>
  </si>
  <si>
    <t>Bruna Moura Pinto</t>
  </si>
  <si>
    <t>Seu Raimundo Moura</t>
  </si>
  <si>
    <t>Kauã Barbosa Leal</t>
  </si>
  <si>
    <t>Yasmin Barbosa Leal</t>
  </si>
  <si>
    <t>Dona Rita Barbosa</t>
  </si>
  <si>
    <t>Leandro Leal Santos</t>
  </si>
  <si>
    <t>Júnior Leal Santos</t>
  </si>
  <si>
    <t>953.442.470-60</t>
  </si>
  <si>
    <t>150.641.120-76</t>
  </si>
  <si>
    <t>409.423.050-51</t>
  </si>
  <si>
    <t>367.338.580-10</t>
  </si>
  <si>
    <t>024.241.000-63</t>
  </si>
  <si>
    <t>356.166.130-02</t>
  </si>
  <si>
    <t>984.637.810-63</t>
  </si>
  <si>
    <t>318.651.560-27</t>
  </si>
  <si>
    <t>633.820.190-00</t>
  </si>
  <si>
    <t>581.697.720-28</t>
  </si>
  <si>
    <t>678.547.560-07</t>
  </si>
  <si>
    <t>544.588.250-03</t>
  </si>
  <si>
    <t>843.589.120-87</t>
  </si>
  <si>
    <t>746.540.520-38</t>
  </si>
  <si>
    <t>774.412.670-05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</si>
  <si>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</si>
  <si>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</si>
  <si>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</si>
  <si>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</si>
  <si>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</si>
  <si>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</si>
  <si>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</si>
  <si>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</si>
  <si>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</si>
  <si>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</si>
  <si>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</si>
  <si>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</si>
  <si>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KeyAcompanhamento</t>
  </si>
  <si>
    <t>Minha Casa Minha Vida (MCMV)</t>
  </si>
  <si>
    <r>
      <rPr>
        <sz val="48"/>
        <color theme="1"/>
        <rFont val="Aptos Narrow"/>
        <family val="2"/>
        <scheme val="minor"/>
      </rPr>
      <t>ASSOCIAÇÃO DIACOMO CUSMANO</t>
    </r>
    <r>
      <rPr>
        <sz val="11"/>
        <color theme="1"/>
        <rFont val="Aptos Narrow"/>
        <family val="2"/>
        <scheme val="minor"/>
      </rPr>
      <t xml:space="preserve">
          </t>
    </r>
    <r>
      <rPr>
        <sz val="22"/>
        <color theme="1"/>
        <rFont val="Aptos Narrow"/>
        <family val="2"/>
        <scheme val="minor"/>
      </rPr>
      <t xml:space="preserve">  Paróquia de Santo Antônio - Igarapé - MG</t>
    </r>
  </si>
  <si>
    <t>Mês</t>
  </si>
  <si>
    <t>Entregas</t>
  </si>
  <si>
    <t>Endereço:</t>
  </si>
  <si>
    <t>Allan</t>
  </si>
  <si>
    <t>KeyEscolaridade</t>
  </si>
  <si>
    <t>KeyParentesco</t>
  </si>
  <si>
    <t>KeyAssistido</t>
  </si>
  <si>
    <t>Gustavo</t>
  </si>
  <si>
    <t>Key</t>
  </si>
  <si>
    <t>nome</t>
  </si>
  <si>
    <t>data_nascimento</t>
  </si>
  <si>
    <t>escolaridade</t>
  </si>
  <si>
    <t>estadoCivil</t>
  </si>
  <si>
    <t>profissao</t>
  </si>
  <si>
    <t>cpf</t>
  </si>
  <si>
    <t>telefone</t>
  </si>
  <si>
    <t>Jurema</t>
  </si>
  <si>
    <t>Maria</t>
  </si>
  <si>
    <t>Alessandra</t>
  </si>
  <si>
    <t>Vidraceira</t>
  </si>
  <si>
    <t>KeyConjuge</t>
  </si>
  <si>
    <t>Rua Alamedas</t>
  </si>
  <si>
    <t>Cidade Nova</t>
  </si>
  <si>
    <t>Jaguaritaguá</t>
  </si>
  <si>
    <t>Cirlei</t>
  </si>
  <si>
    <t>NDependentes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</si>
</sst>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gt;=10000000000]&quot;(&quot;00&quot;)&quot;&quot; &quot;0&quot; &quot;0000&quot;-&quot;0000;&quot;(&quot;00&quot;)&quot;&quot; &quot;0000&quot;-&quot;0000"/>
    <numFmt numFmtId="165" formatCode="000&quot;.&quot;000&quot;.&quot;000&quot;-&quot;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14" fontId="0" fillId="0" borderId="0" xfId="0" applyNumberFormat="1"/>
    <xf numFmtId="0" fontId="0" fillId="0" borderId="0" xfId="0" applyAlignment="1"/>
    <xf numFmtId="0" fontId="0" fillId="0" borderId="0" xfId="0" applyBorder="1" applyAlignment="1">
      <alignment horizontal="center"/>
    </xf>
    <xf numFmtId="0" fontId="0" fillId="0" borderId="1" xfId="0" applyBorder="1" applyAlignment="1"/>
    <xf numFmtId="0" fontId="0" fillId="0" borderId="0" xfId="0" applyBorder="1"/>
    <xf numFmtId="0" fontId="0" fillId="0" borderId="0" xfId="0" applyBorder="1" applyAlignment="1"/>
    <xf numFmtId="0" fontId="0" fillId="0" borderId="0" xfId="0" applyFill="1" applyBorder="1"/>
    <xf numFmtId="0" fontId="0" fillId="0" borderId="1" xfId="0" applyBorder="1"/>
    <xf numFmtId="0" fontId="1" fillId="0" borderId="0" xfId="0" applyFont="1" applyAlignment="1"/>
    <xf numFmtId="0" fontId="0" fillId="0" borderId="0" xfId="0" applyFill="1"/>
    <xf numFmtId="0" fontId="0" fillId="0" borderId="0" xfId="0" applyFill="1" applyBorder="1" applyAlignment="1"/>
    <xf numFmtId="0" fontId="1" fillId="0" borderId="0" xfId="0" applyFont="1" applyBorder="1"/>
    <xf numFmtId="0" fontId="1" fillId="0" borderId="0" xfId="0" applyFont="1" applyFill="1" applyBorder="1"/>
    <xf numFmtId="0" fontId="0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0" borderId="1" xfId="0" applyBorder="1" applyAlignment="1">
      <alignment horizontal="left" vertical="center" indent="1"/>
    </xf>
    <xf numFmtId="0" fontId="0" fillId="2" borderId="0" xfId="0" applyFill="1"/>
    <xf numFmtId="0" fontId="0" fillId="0" borderId="1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 indent="1"/>
    </xf>
    <xf numFmtId="0" fontId="1" fillId="0" borderId="1" xfId="0" applyFont="1" applyBorder="1"/>
    <xf numFmtId="0" fontId="4" fillId="3" borderId="4" xfId="0" applyFont="1" applyFill="1" applyBorder="1"/>
    <xf numFmtId="0" fontId="4" fillId="3" borderId="0" xfId="0" applyFont="1" applyFill="1" applyBorder="1"/>
    <xf numFmtId="0" fontId="4" fillId="3" borderId="0" xfId="0" applyFont="1" applyFill="1"/>
    <xf numFmtId="0" fontId="0" fillId="0" borderId="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0" fillId="0" borderId="1" xfId="0" applyBorder="1" applyAlignment="1">
      <alignment horizontal="left" indent="1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left" vertical="center" indent="1"/>
    </xf>
    <xf numFmtId="14" fontId="0" fillId="0" borderId="1" xfId="0" applyNumberFormat="1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165" fontId="0" fillId="0" borderId="1" xfId="0" applyNumberFormat="1" applyBorder="1" applyAlignment="1">
      <alignment horizontal="left" indent="1"/>
    </xf>
    <xf numFmtId="164" fontId="0" fillId="0" borderId="1" xfId="0" applyNumberFormat="1" applyBorder="1" applyAlignment="1">
      <alignment horizontal="left" indent="1"/>
    </xf>
    <xf numFmtId="0" fontId="0" fillId="0" borderId="1" xfId="0" applyNumberFormat="1" applyBorder="1" applyAlignment="1">
      <alignment horizontal="left" indent="1"/>
    </xf>
    <xf numFmtId="0" fontId="0" fillId="0" borderId="2" xfId="0" applyNumberFormat="1" applyBorder="1" applyAlignment="1">
      <alignment horizontal="left" indent="1"/>
    </xf>
    <xf numFmtId="14" fontId="0" fillId="0" borderId="1" xfId="0" applyNumberFormat="1" applyBorder="1" applyAlignment="1">
      <alignment horizontal="left" indent="1"/>
    </xf>
    <xf numFmtId="0" fontId="0" fillId="0" borderId="3" xfId="0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26">
    <dxf>
      <numFmt numFmtId="0" formatCode="General"/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0" formatCode="General"/>
    </dxf>
    <dxf>
      <numFmt numFmtId="0" formatCode="General"/>
    </dxf>
    <dxf>
      <numFmt numFmtId="19" formatCode="dd/mm/yyyy"/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</dxf>
    <dxf>
      <numFmt numFmtId="166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TABELAS_AUXILIARES!$B$1</c:f>
              <c:strCache>
                <c:ptCount val="1"/>
                <c:pt idx="0">
                  <c:v>Entregas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TABELAS_AUXILIARES!$A$2:$A$13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TABELAS_AUXILIARES!$B$2:$B$13</c:f>
              <c:numCache>
                <c:formatCode>General</c:formatCode>
                <c:ptCount val="12"/>
                <c:pt idx="0">
                  <c:v>7</c:v>
                </c:pt>
                <c:pt idx="1">
                  <c:v>5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A5-4D2C-A89F-4EF61CA9D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40110863"/>
        <c:axId val="40112783"/>
      </c:barChart>
      <c:catAx>
        <c:axId val="4011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2783"/>
        <c:crosses val="autoZero"/>
        <c:auto val="1"/>
        <c:lblAlgn val="ctr"/>
        <c:lblOffset val="100"/>
        <c:noMultiLvlLbl val="0"/>
      </c:catAx>
      <c:valAx>
        <c:axId val="40112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14287</xdr:rowOff>
    </xdr:from>
    <xdr:to>
      <xdr:col>5</xdr:col>
      <xdr:colOff>533400</xdr:colOff>
      <xdr:row>22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88FCEA-FDE6-49B2-E382-49E698627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D0A3F6-7A0C-49AF-9E20-5A523DEBD191}" name="CADASTROS" displayName="CADASTROS" ref="A1:M2" totalsRowShown="0">
  <autoFilter ref="A1:M2" xr:uid="{0FD0A3F6-7A0C-49AF-9E20-5A523DEBD191}"/>
  <sortState xmlns:xlrd2="http://schemas.microsoft.com/office/spreadsheetml/2017/richdata2" ref="A2:M2">
    <sortCondition ref="A1:A2"/>
  </sortState>
  <tableColumns count="13">
    <tableColumn id="1" xr3:uid="{7C73FD22-45FF-460E-BC58-669273AAB06B}" name="Key"/>
    <tableColumn id="2" xr3:uid="{95CF41B7-C3A0-4192-B1F6-46CD87A4788C}" name="KeyAssistido" dataDxfId="0"/>
    <tableColumn id="16" xr3:uid="{35474776-DB40-4D3F-9BDA-5EDE5291161C}" name="Logradouro"/>
    <tableColumn id="17" xr3:uid="{37B0D069-44E2-4D84-A1A7-21E92CF3A2AB}" name="Numero"/>
    <tableColumn id="18" xr3:uid="{480E6ED5-5CDE-4EBF-9037-85F8526C688E}" name="Bairro"/>
    <tableColumn id="19" xr3:uid="{7D0A0EC3-B587-454B-9539-7A1F21EEB07F}" name="Cidade" dataDxfId="25"/>
    <tableColumn id="20" xr3:uid="{4909ACF1-40FA-4CF7-B6D2-66230B554AB5}" name="DataSindicancia">
      <calculatedColumnFormula>TODAY()</calculatedColumnFormula>
    </tableColumn>
    <tableColumn id="21" xr3:uid="{C460051A-1A94-40C9-877D-A1E041E99EDB}" name="NomeVisitador"/>
    <tableColumn id="22" xr3:uid="{7B4BC43E-71F3-4383-8F71-06948113319E}" name="ParticipaProgGov?"/>
    <tableColumn id="23" xr3:uid="{639410A3-2A3B-48FE-A687-0D83E20C4236}" name="ProgGov"/>
    <tableColumn id="24" xr3:uid="{7E95CF3B-C2CD-4B5B-A90C-DE6C888D5CC3}" name="TipoMoradia"/>
    <tableColumn id="25" xr3:uid="{0B6DDB2B-5F7B-4C35-ABDD-7FED199DD1B4}" name="NDependentes"/>
    <tableColumn id="27" xr3:uid="{628FE335-0807-45FB-94C4-EE1A85843D05}" name="RecebeCesta?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2AD8F14-0E48-4C00-BA1C-7419B5760F8F}" name="Tabela13" displayName="Tabela13" ref="A1:I3" totalsRowShown="0" headerRowDxfId="24" tableBorderDxfId="23">
  <autoFilter ref="A1:I3" xr:uid="{62AD8F14-0E48-4C00-BA1C-7419B5760F8F}"/>
  <tableColumns count="9">
    <tableColumn id="1" xr3:uid="{07F7DA2C-132C-43BD-B460-223FA39A547D}" name="Key"/>
    <tableColumn id="8" xr3:uid="{DF3A2E35-122A-4721-A3E7-C827DCE5095B}" name="nome"/>
    <tableColumn id="2" xr3:uid="{54C84201-E9B0-4564-9FFA-7DA6AA323E86}" name="data_nascimento"/>
    <tableColumn id="3" xr3:uid="{A86A5D1A-D995-41F0-A8EB-E96D6E0EA4B9}" name="escolaridade"/>
    <tableColumn id="4" xr3:uid="{D675165B-A113-44FE-8DFB-9AC43903F7C4}" name="estadoCivil"/>
    <tableColumn id="5" xr3:uid="{5F5E0CBD-289B-4A48-B68A-1858D34ABA6B}" name="profissao"/>
    <tableColumn id="6" xr3:uid="{CB2E7D23-2597-40B2-8F9E-A2F456636BAD}" name="cpf"/>
    <tableColumn id="7" xr3:uid="{71FE4E14-8818-4130-89B9-1A975D9E7CA2}" name="telefone"/>
    <tableColumn id="9" xr3:uid="{7FEBA7DA-3D70-4B39-994C-8EF736746DB8}" name="KeyConjuge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69FAF4C-5940-46CB-A566-89DAB59270C7}" name="Acompanhamento" displayName="Acompanhamento" ref="A1:M11" totalsRowShown="0">
  <autoFilter ref="A1:M11" xr:uid="{569FAF4C-5940-46CB-A566-89DAB59270C7}"/>
  <tableColumns count="13">
    <tableColumn id="2" xr3:uid="{E07ACAF1-33B3-428F-B591-967AEEF65915}" name="KeyAcompanhamento" dataDxfId="22"/>
    <tableColumn id="8" xr3:uid="{3692651C-4D8A-4D18-820D-0CA629F413D1}" name="Jan" dataDxfId="21"/>
    <tableColumn id="9" xr3:uid="{1DA296C9-3C1F-4105-8AE6-2BCCFEDE2175}" name="Fev" dataDxfId="20"/>
    <tableColumn id="10" xr3:uid="{0D5481BA-3AE5-4172-922E-5321CD923C4C}" name="Mar" dataDxfId="19"/>
    <tableColumn id="11" xr3:uid="{43CDB5DF-2E1F-421B-9EC5-8F93F8DACAF5}" name="Abr" dataDxfId="18"/>
    <tableColumn id="12" xr3:uid="{D04A26DD-1318-4208-A1CB-279726E45685}" name="Mai" dataDxfId="17"/>
    <tableColumn id="13" xr3:uid="{E55555DD-9B07-4803-A857-C45478AD72CD}" name="Jun" dataDxfId="16"/>
    <tableColumn id="1" xr3:uid="{F8558262-87C2-43E0-A48C-159BB14311B5}" name="Jul" dataDxfId="15"/>
    <tableColumn id="3" xr3:uid="{DA358C54-86DB-4661-BEC3-EEDA75D2B78D}" name="Ago" dataDxfId="14"/>
    <tableColumn id="4" xr3:uid="{598C98A8-FA82-450B-BF95-189DFBD5D463}" name="Set" dataDxfId="13"/>
    <tableColumn id="5" xr3:uid="{81622C4F-6124-4E72-B2B0-5659AB4ACA48}" name="Out" dataDxfId="12"/>
    <tableColumn id="6" xr3:uid="{D4C17119-76C7-4B0E-A518-41F9972E3162}" name="Nov" dataDxfId="11"/>
    <tableColumn id="7" xr3:uid="{02524F18-A8AF-410A-AEC1-7E0751B0E45A}" name="Dez" dataDxfId="10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746B1D-3D38-4DDC-99F7-6CF00AC7B0A1}" name="CestasPorMes" displayName="CestasPorMes" ref="A1:B13" totalsRowShown="0">
  <autoFilter ref="A1:B13" xr:uid="{D3746B1D-3D38-4DDC-99F7-6CF00AC7B0A1}"/>
  <tableColumns count="2">
    <tableColumn id="1" xr3:uid="{1C4AA69E-CEFD-4734-B757-D35E2373196B}" name="Mês"/>
    <tableColumn id="2" xr3:uid="{016AE4BC-DC7A-4F0B-87FB-CB807EE45784}" name="Entregas">
      <calculatedColumnFormula>COUNTIF(Acompanhamento[Jan],TRUE)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CFFC3F9-3F48-455A-B7F8-57715BC7AB8B}" name="Tabela1315" displayName="Tabela1315" ref="A1:H4" totalsRowShown="0" headerRowDxfId="9" tableBorderDxfId="8">
  <autoFilter ref="A1:H4" xr:uid="{62AD8F14-0E48-4C00-BA1C-7419B5760F8F}"/>
  <tableColumns count="8">
    <tableColumn id="1" xr3:uid="{047DF2CA-3F94-43DC-8660-607D15C759EA}" name="Key"/>
    <tableColumn id="8" xr3:uid="{5ABA0F83-5231-429A-AA6B-D06426695445}" name="nome"/>
    <tableColumn id="2" xr3:uid="{13DA29D7-E8ED-4139-87DD-5909D8E8EDDE}" name="data_nascimento"/>
    <tableColumn id="3" xr3:uid="{856349E6-2FE7-4571-9CAD-E8875085A7DA}" name="escolaridade"/>
    <tableColumn id="4" xr3:uid="{9A346593-6132-4AA9-832D-3B73D52B002A}" name="estadoCivil"/>
    <tableColumn id="5" xr3:uid="{4AA846F1-5084-4875-8619-7736242236A2}" name="profissao"/>
    <tableColumn id="6" xr3:uid="{E3E9B0F6-7B4A-4CAD-9A75-AEFA67FC8805}" name="cpf"/>
    <tableColumn id="7" xr3:uid="{FC83D026-6AA1-4151-B776-B9CC330E8484}" name="telefone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7E6C2F-1005-4E45-ADAA-049405029246}" name="PARENTES" displayName="PARENTES" ref="A1:F37" totalsRowShown="0">
  <autoFilter ref="A1:F37" xr:uid="{367E6C2F-1005-4E45-ADAA-049405029246}"/>
  <tableColumns count="6">
    <tableColumn id="1" xr3:uid="{0ED41406-040A-4E22-A5E0-C23E1CF7AF54}" name="Key"/>
    <tableColumn id="2" xr3:uid="{93E7CC29-FDEC-4A04-8B57-1B56CBA9CA65}" name="NomeParente"/>
    <tableColumn id="4" xr3:uid="{1EDC8AA1-1D79-4404-90CB-53282C95E288}" name="DataNascimentoParente" dataDxfId="7"/>
    <tableColumn id="5" xr3:uid="{7937C30B-6471-4FB4-96E2-EBA4EC0D6A05}" name="KeyEscolaridade" dataDxfId="6"/>
    <tableColumn id="3" xr3:uid="{56466016-BC3B-4F3B-9119-C6EDB4737E88}" name="KeyParentesco" dataDxfId="5"/>
    <tableColumn id="6" xr3:uid="{A229FB44-D556-44EB-A32B-7D0C53E43571}" name="KeyAssistido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E2A1E95-3293-4FDD-820B-00B0C2DCE5FA}" name="CADASTROS_DADOS_TESTE" displayName="CADASTROS_DADOS_TESTE" ref="A1:Z11" totalsRowShown="0">
  <autoFilter ref="A1:Z11" xr:uid="{BE2A1E95-3293-4FDD-820B-00B0C2DCE5FA}"/>
  <tableColumns count="26">
    <tableColumn id="1" xr3:uid="{800A8BDA-34BF-4255-B5AB-94AA4F1A9C04}" name="NomeAssistido"/>
    <tableColumn id="2" xr3:uid="{6F92F298-72D3-4D45-ABD7-9F1DADD7B130}" name="DataNascimentoAssistido"/>
    <tableColumn id="3" xr3:uid="{90FA7190-4AF5-452D-9CC4-24A5E21E0319}" name="EstadoCivilAssistido"/>
    <tableColumn id="4" xr3:uid="{6C90D29E-54F7-4669-A8D5-F701D2763BA0}" name="ProfissaoAssistido"/>
    <tableColumn id="5" xr3:uid="{62F8B99C-4D52-4283-A464-726A88000BD3}" name="EscolaridadeAssistido"/>
    <tableColumn id="6" xr3:uid="{ED2A22E7-93DB-4F2B-A8FE-0AEBFF9C8AFA}" name="CPFAssistido"/>
    <tableColumn id="7" xr3:uid="{7441D9C3-2BC3-4047-BA07-AE31AF60E8EA}" name="TelefoneAssistido"/>
    <tableColumn id="8" xr3:uid="{F99A6E3C-A5F9-4FE9-B9E5-260327AF6DE7}" name="NomeConjuge"/>
    <tableColumn id="9" xr3:uid="{E95ABFD6-3987-4514-8C81-C360CC380640}" name="DataNascimentoConjuge" dataDxfId="4"/>
    <tableColumn id="10" xr3:uid="{BFC33952-9795-4DEF-BD9D-3882C9B755F0}" name="EstadoCivilConjuge"/>
    <tableColumn id="11" xr3:uid="{33D1E21F-77CA-4F8E-A3FF-63B0CA6F2F4A}" name="ProfissaoConjuge"/>
    <tableColumn id="12" xr3:uid="{003384FC-2BDF-43AD-9DD4-8315C1691343}" name="EscolaridadeConjuge"/>
    <tableColumn id="13" xr3:uid="{2E3C9BCE-F562-46BE-82AE-D90345CCB352}" name="CPFConjuge"/>
    <tableColumn id="14" xr3:uid="{2509316C-32CF-4959-BD4D-50C02AD19657}" name="TelefoneConjuge"/>
    <tableColumn id="15" xr3:uid="{6E7659F2-77A0-4A3B-AD76-D3D221C70E38}" name="Logradouro"/>
    <tableColumn id="16" xr3:uid="{8A7D822E-95EC-4AE7-98C2-BF91162F81CF}" name="Numero"/>
    <tableColumn id="17" xr3:uid="{A6867E82-AA31-4893-B8D1-70EA7F5696A0}" name="Bairro"/>
    <tableColumn id="18" xr3:uid="{6231E647-4D72-49E4-8419-945B34A9ABA1}" name="Cidade"/>
    <tableColumn id="19" xr3:uid="{E5EB1FF3-29AA-4F73-A9C1-D2065265D1DF}" name="DataSindicancia" dataDxfId="3"/>
    <tableColumn id="20" xr3:uid="{B18860B3-C8B6-4EA8-B499-479F1EB625BD}" name="NomeVisitador"/>
    <tableColumn id="21" xr3:uid="{F2817651-B4BB-429D-A4D5-7BF325B8ED36}" name="ParticipaProgGov?"/>
    <tableColumn id="22" xr3:uid="{0902E826-C6AA-4CD2-971C-D3049D14F888}" name="ProgGov"/>
    <tableColumn id="23" xr3:uid="{32F52A2A-6606-4B3B-90D0-B377E7906D21}" name="TipoMoradia"/>
    <tableColumn id="24" xr3:uid="{1BDC995A-3A9F-4401-B646-3A90A126858E}" name="NPessoas"/>
    <tableColumn id="25" xr3:uid="{DB15655B-0C82-46B5-B69E-DFFF6B34B51A}" name="KeyParente"/>
    <tableColumn id="26" xr3:uid="{7654EC79-A039-4121-AB76-09478E405B3C}" name="RecebeCesta?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0225F72-EEE5-417F-BE12-CC838956E933}" name="PARENTES12" displayName="PARENTES12" ref="AB1:AF34" totalsRowShown="0">
  <autoFilter ref="AB1:AF34" xr:uid="{F0225F72-EEE5-417F-BE12-CC838956E933}"/>
  <tableColumns count="5">
    <tableColumn id="1" xr3:uid="{0009B41C-610E-431D-867F-1B886E91C62D}" name="KeyParente"/>
    <tableColumn id="2" xr3:uid="{13BC1B70-6F56-46FB-99A5-F802F8CACBA0}" name="NomeParente"/>
    <tableColumn id="3" xr3:uid="{2D5742F3-0A3B-4745-97F3-65F97E1B3D0C}" name="GrauParentescoParente" dataDxfId="2"/>
    <tableColumn id="4" xr3:uid="{6BE994B7-EF7B-4CCD-9108-5FD2AC9C88D9}" name="DataNascimentoParente" dataDxfId="1"/>
    <tableColumn id="5" xr3:uid="{47A7EB27-26EC-4EE4-96B8-9DB2432E424E}" name="EscolaridadeParente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E084E2B-E19A-4D30-9C37-5F73643EFB8D}" name="Tabela8" displayName="Tabela8" ref="A1:A14" totalsRowShown="0">
  <autoFilter ref="A1:A14" xr:uid="{1E084E2B-E19A-4D30-9C37-5F73643EFB8D}"/>
  <tableColumns count="1">
    <tableColumn id="1" xr3:uid="{A2A82BD5-FC6A-4664-BA63-0E22A5E05652}" name="Graus Parentesco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E760FC-4A24-4046-A080-F10BDCDFA898}" name="Tabela7" displayName="Tabela7" ref="A1:A4" totalsRowShown="0">
  <autoFilter ref="A1:A4" xr:uid="{A0E760FC-4A24-4046-A080-F10BDCDFA898}"/>
  <tableColumns count="1">
    <tableColumn id="1" xr3:uid="{90BC61FC-7694-430B-9B03-32C335AD68EB}" name="Tipo Moradia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ABC105-1824-41AE-AA21-61890552F474}" name="EstadosCivis" displayName="EstadosCivis" ref="A1:A6" totalsRowShown="0">
  <autoFilter ref="A1:A6" xr:uid="{5DABC105-1824-41AE-AA21-61890552F474}"/>
  <tableColumns count="1">
    <tableColumn id="1" xr3:uid="{31F5BF02-7DE1-4A2A-B683-58D07241845B}" name="Estado Civil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6FEC31-7CD5-4DEA-894D-808B168F18B3}" name="Tabela2" displayName="Tabela2" ref="A1:A13" totalsRowShown="0">
  <autoFilter ref="A1:A13" xr:uid="{F66FEC31-7CD5-4DEA-894D-808B168F18B3}"/>
  <tableColumns count="1">
    <tableColumn id="1" xr3:uid="{C65757EA-8302-4B85-9BFF-307294DA27EC}" name="Escolaridade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B5FBC0-E691-4C74-880B-331AFFCDB7B7}" name="Tabela3" displayName="Tabela3" ref="A1:A8" totalsRowShown="0">
  <autoFilter ref="A1:A8" xr:uid="{4DB5FBC0-E691-4C74-880B-331AFFCDB7B7}"/>
  <tableColumns count="1">
    <tableColumn id="1" xr3:uid="{43EC532D-A033-4AE0-923B-FCCB250CCF30}" name="Profissões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B7CDAF-8EB2-4BD6-812E-9A5340E12453}" name="Tabela6" displayName="Tabela6" ref="A1:A2" totalsRowShown="0">
  <autoFilter ref="A1:A2" xr:uid="{A9B7CDAF-8EB2-4BD6-812E-9A5340E12453}"/>
  <tableColumns count="1">
    <tableColumn id="1" xr3:uid="{902A328B-BF55-42AF-94FA-7150C124F773}" name="Programa Governamentai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0F88-B530-41C2-901D-CC8258D889FD}">
  <sheetPr codeName="wksMENU"/>
  <dimension ref="A1:Z50"/>
  <sheetViews>
    <sheetView showGridLines="0" showRowColHeaders="0" workbookViewId="0">
      <selection activeCell="I17" sqref="I17"/>
    </sheetView>
  </sheetViews>
  <sheetFormatPr defaultColWidth="0" defaultRowHeight="15" zeroHeight="1" x14ac:dyDescent="0.25"/>
  <cols>
    <col min="1" max="1" width="16.42578125" style="10" bestFit="1" customWidth="1"/>
    <col min="2" max="2" width="16.7109375" style="10" bestFit="1" customWidth="1"/>
    <col min="3" max="21" width="9.140625" style="10" customWidth="1"/>
    <col min="22" max="26" width="9.140625" style="10" hidden="1" customWidth="1"/>
    <col min="27" max="16384" width="9.140625" hidden="1"/>
  </cols>
  <sheetData>
    <row r="1" spans="1:26" ht="15" customHeight="1" x14ac:dyDescent="0.25">
      <c r="A1" s="28" t="e" vm="1">
        <v>#VALUE!</v>
      </c>
      <c r="B1" s="28"/>
      <c r="C1" s="28"/>
      <c r="D1" s="31" t="s">
        <v>238</v>
      </c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17"/>
      <c r="W1" s="17"/>
      <c r="X1" s="18"/>
      <c r="Y1" s="18"/>
      <c r="Z1" s="18"/>
    </row>
    <row r="2" spans="1:26" x14ac:dyDescent="0.25">
      <c r="A2" s="29"/>
      <c r="B2" s="29"/>
      <c r="C2" s="29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17"/>
      <c r="W2" s="17"/>
      <c r="X2" s="18"/>
      <c r="Y2" s="18"/>
      <c r="Z2" s="18"/>
    </row>
    <row r="3" spans="1:26" x14ac:dyDescent="0.25">
      <c r="A3" s="29"/>
      <c r="B3" s="29"/>
      <c r="C3" s="29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17"/>
      <c r="W3" s="17"/>
      <c r="X3" s="18"/>
      <c r="Y3" s="18"/>
      <c r="Z3" s="18"/>
    </row>
    <row r="4" spans="1:26" x14ac:dyDescent="0.25">
      <c r="A4" s="29"/>
      <c r="B4" s="29"/>
      <c r="C4" s="29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17"/>
      <c r="W4" s="17"/>
      <c r="X4" s="18"/>
      <c r="Y4" s="18"/>
      <c r="Z4" s="18"/>
    </row>
    <row r="5" spans="1:26" x14ac:dyDescent="0.25">
      <c r="A5" s="29"/>
      <c r="B5" s="29"/>
      <c r="C5" s="29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17"/>
      <c r="W5" s="17"/>
      <c r="X5" s="18"/>
      <c r="Y5" s="18"/>
      <c r="Z5" s="18"/>
    </row>
    <row r="6" spans="1:26" x14ac:dyDescent="0.25">
      <c r="A6" s="29"/>
      <c r="B6" s="29"/>
      <c r="C6" s="29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17"/>
      <c r="W6" s="17"/>
      <c r="X6" s="18"/>
      <c r="Y6" s="18"/>
      <c r="Z6" s="18"/>
    </row>
    <row r="7" spans="1:26" x14ac:dyDescent="0.25">
      <c r="A7" s="29"/>
      <c r="B7" s="29"/>
      <c r="C7" s="29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17"/>
      <c r="W7" s="17"/>
      <c r="X7" s="18"/>
      <c r="Y7" s="18"/>
      <c r="Z7" s="18"/>
    </row>
    <row r="8" spans="1:26" x14ac:dyDescent="0.25">
      <c r="A8" s="30"/>
      <c r="B8" s="30"/>
      <c r="C8" s="30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18"/>
      <c r="W8" s="18"/>
      <c r="X8" s="18"/>
      <c r="Y8" s="18"/>
      <c r="Z8" s="18"/>
    </row>
    <row r="9" spans="1:26" x14ac:dyDescent="0.2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6" x14ac:dyDescent="0.2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6" x14ac:dyDescent="0.2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6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6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</row>
    <row r="14" spans="1:26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</row>
    <row r="15" spans="1:26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</row>
    <row r="16" spans="1:26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</row>
    <row r="17" spans="1:21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</row>
    <row r="18" spans="1:21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</row>
    <row r="19" spans="1:21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</row>
    <row r="25" spans="1:21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</row>
    <row r="26" spans="1:21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</row>
    <row r="27" spans="1:21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</row>
    <row r="28" spans="1:21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</row>
    <row r="29" spans="1:21" x14ac:dyDescent="0.2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</row>
    <row r="30" spans="1:21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</row>
    <row r="31" spans="1:21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</row>
    <row r="37" spans="1:21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</row>
    <row r="38" spans="1:21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</row>
    <row r="39" spans="1:21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</row>
    <row r="40" spans="1:21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</row>
    <row r="41" spans="1:21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</row>
    <row r="42" spans="1:21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</row>
    <row r="47" spans="1:21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</row>
    <row r="48" spans="1:21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</row>
    <row r="49" spans="1:21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</row>
    <row r="50" spans="1:21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</row>
  </sheetData>
  <mergeCells count="2">
    <mergeCell ref="A1:C8"/>
    <mergeCell ref="D1:U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B79-B920-4909-A1AF-B826D067B8AE}">
  <sheetPr codeName="wksCADASTRO"/>
  <dimension ref="A1:M2"/>
  <sheetViews>
    <sheetView tabSelected="1" workbookViewId="0">
      <selection activeCell="L3" sqref="L3"/>
    </sheetView>
  </sheetViews>
  <sheetFormatPr defaultRowHeight="15" x14ac:dyDescent="0.25"/>
  <cols>
    <col min="1" max="1" width="6.5703125" bestFit="1" customWidth="1"/>
    <col min="2" max="2" width="14.85546875" bestFit="1" customWidth="1"/>
    <col min="3" max="3" width="13.42578125" bestFit="1" customWidth="1"/>
    <col min="4" max="4" width="10.5703125" bestFit="1" customWidth="1"/>
    <col min="5" max="5" width="8.5703125" bestFit="1" customWidth="1"/>
    <col min="6" max="6" width="9.7109375" bestFit="1" customWidth="1"/>
    <col min="7" max="7" width="17.85546875" bestFit="1" customWidth="1"/>
    <col min="8" max="8" width="16.85546875" bestFit="1" customWidth="1"/>
    <col min="9" max="9" width="20" bestFit="1" customWidth="1"/>
    <col min="10" max="10" width="10.85546875" bestFit="1" customWidth="1"/>
    <col min="11" max="11" width="14.28515625" bestFit="1" customWidth="1"/>
    <col min="12" max="12" width="12.140625" bestFit="1" customWidth="1"/>
    <col min="13" max="13" width="16.5703125" bestFit="1" customWidth="1"/>
    <col min="16" max="16" width="10.42578125" bestFit="1" customWidth="1"/>
    <col min="18" max="18" width="12.140625" bestFit="1" customWidth="1"/>
    <col min="23" max="23" width="12.140625" bestFit="1" customWidth="1"/>
    <col min="24" max="24" width="23.140625" bestFit="1" customWidth="1"/>
  </cols>
  <sheetData>
    <row r="1" spans="1:13" x14ac:dyDescent="0.25">
      <c r="A1" t="s">
        <v>247</v>
      </c>
      <c r="B1" t="s">
        <v>245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264</v>
      </c>
      <c r="M1" t="s">
        <v>60</v>
      </c>
    </row>
    <row r="2" spans="1:13" x14ac:dyDescent="0.25">
      <c r="A2">
        <v>1</v>
      </c>
      <c r="B2" s="16">
        <v>2</v>
      </c>
      <c r="C2" t="s">
        <v>260</v>
      </c>
      <c r="D2">
        <v>453</v>
      </c>
      <c r="E2" t="s">
        <v>261</v>
      </c>
      <c r="F2" s="1" t="s">
        <v>262</v>
      </c>
      <c r="G2" s="1">
        <f ca="1">TODAY()</f>
        <v>46189</v>
      </c>
      <c r="H2" t="s">
        <v>263</v>
      </c>
      <c r="I2" t="b">
        <v>0</v>
      </c>
      <c r="K2">
        <v>1</v>
      </c>
      <c r="L2">
        <v>5</v>
      </c>
      <c r="M2" t="b"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BE32-61BE-46FC-AAA7-09C5AD85E474}">
  <sheetPr codeName="wksASSISTIDO"/>
  <dimension ref="A1:I3"/>
  <sheetViews>
    <sheetView workbookViewId="0">
      <selection activeCell="C2" sqref="C2"/>
    </sheetView>
  </sheetViews>
  <sheetFormatPr defaultRowHeight="15" x14ac:dyDescent="0.25"/>
  <cols>
    <col min="1" max="1" width="16.85546875" customWidth="1"/>
    <col min="2" max="2" width="18.140625" bestFit="1" customWidth="1"/>
    <col min="3" max="3" width="27" bestFit="1" customWidth="1"/>
    <col min="4" max="4" width="23.42578125" bestFit="1" customWidth="1"/>
    <col min="5" max="5" width="19.85546875" customWidth="1"/>
    <col min="6" max="6" width="15" customWidth="1"/>
    <col min="7" max="7" width="19.42578125" customWidth="1"/>
    <col min="8" max="8" width="19.85546875" bestFit="1" customWidth="1"/>
    <col min="9" max="9" width="15.42578125" bestFit="1" customWidth="1"/>
  </cols>
  <sheetData>
    <row r="1" spans="1:9" x14ac:dyDescent="0.25">
      <c r="A1" s="25" t="s">
        <v>247</v>
      </c>
      <c r="B1" s="25" t="s">
        <v>248</v>
      </c>
      <c r="C1" s="26" t="s">
        <v>249</v>
      </c>
      <c r="D1" s="26" t="s">
        <v>250</v>
      </c>
      <c r="E1" s="26" t="s">
        <v>251</v>
      </c>
      <c r="F1" s="26" t="s">
        <v>252</v>
      </c>
      <c r="G1" s="26" t="s">
        <v>253</v>
      </c>
      <c r="H1" s="26" t="s">
        <v>254</v>
      </c>
      <c r="I1" s="27" t="s">
        <v>259</v>
      </c>
    </row>
    <row r="2" spans="1:9" x14ac:dyDescent="0.25">
      <c r="A2">
        <v>1</v>
      </c>
      <c r="B2" t="s">
        <v>157</v>
      </c>
      <c r="C2" s="1">
        <v>29368</v>
      </c>
      <c r="D2">
        <v>6</v>
      </c>
      <c r="E2">
        <v>2</v>
      </c>
      <c r="F2" t="s">
        <v>24</v>
      </c>
      <c r="G2" t="s">
        <v>210</v>
      </c>
      <c r="H2" t="s">
        <v>118</v>
      </c>
      <c r="I2">
        <v>1</v>
      </c>
    </row>
    <row r="3" spans="1:9" x14ac:dyDescent="0.25">
      <c r="A3">
        <v>2</v>
      </c>
      <c r="B3" t="s">
        <v>246</v>
      </c>
      <c r="C3" s="1">
        <v>24659</v>
      </c>
      <c r="D3">
        <v>6</v>
      </c>
      <c r="E3">
        <v>2</v>
      </c>
      <c r="F3" t="s">
        <v>24</v>
      </c>
      <c r="G3">
        <v>11897630803</v>
      </c>
      <c r="H3">
        <v>31956735208</v>
      </c>
      <c r="I3">
        <v>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1408F-B276-43EF-AED9-4D04D909A5E7}">
  <sheetPr codeName="wksACOMPANHAMENTO"/>
  <dimension ref="A1:M14"/>
  <sheetViews>
    <sheetView workbookViewId="0">
      <selection activeCell="F11" sqref="F11:BY11"/>
    </sheetView>
  </sheetViews>
  <sheetFormatPr defaultRowHeight="15" x14ac:dyDescent="0.25"/>
  <cols>
    <col min="1" max="1" width="23.140625" bestFit="1" customWidth="1"/>
    <col min="2" max="4" width="12.140625" bestFit="1" customWidth="1"/>
    <col min="5" max="8" width="12.42578125" bestFit="1" customWidth="1"/>
  </cols>
  <sheetData>
    <row r="1" spans="1:13" x14ac:dyDescent="0.25">
      <c r="A1" s="16" t="s">
        <v>236</v>
      </c>
      <c r="B1" s="16" t="s">
        <v>224</v>
      </c>
      <c r="C1" s="16" t="s">
        <v>225</v>
      </c>
      <c r="D1" s="16" t="s">
        <v>226</v>
      </c>
      <c r="E1" s="16" t="s">
        <v>227</v>
      </c>
      <c r="F1" s="16" t="s">
        <v>228</v>
      </c>
      <c r="G1" s="16" t="s">
        <v>229</v>
      </c>
      <c r="H1" t="s">
        <v>230</v>
      </c>
      <c r="I1" t="s">
        <v>231</v>
      </c>
      <c r="J1" t="s">
        <v>232</v>
      </c>
      <c r="K1" t="s">
        <v>233</v>
      </c>
      <c r="L1" t="s">
        <v>234</v>
      </c>
      <c r="M1" t="s">
        <v>235</v>
      </c>
    </row>
    <row r="2" spans="1:13" x14ac:dyDescent="0.25">
      <c r="A2">
        <v>1</v>
      </c>
      <c r="B2" s="16" t="b">
        <v>1</v>
      </c>
      <c r="C2" s="16" t="b">
        <v>0</v>
      </c>
      <c r="D2" s="16" t="b">
        <v>1</v>
      </c>
      <c r="E2" s="16" t="b">
        <v>0</v>
      </c>
      <c r="F2" s="16" t="b">
        <v>0</v>
      </c>
      <c r="G2" s="16" t="b">
        <v>1</v>
      </c>
      <c r="H2" s="16" t="b">
        <v>0</v>
      </c>
      <c r="I2" s="16" t="b">
        <v>0</v>
      </c>
      <c r="J2" s="16" t="b">
        <v>0</v>
      </c>
      <c r="K2" s="16" t="b">
        <v>0</v>
      </c>
      <c r="L2" s="16" t="b">
        <v>0</v>
      </c>
      <c r="M2" s="16" t="b">
        <v>0</v>
      </c>
    </row>
    <row r="3" spans="1:13" x14ac:dyDescent="0.25">
      <c r="A3">
        <v>2</v>
      </c>
      <c r="B3" s="16" t="b">
        <v>0</v>
      </c>
      <c r="C3" s="16" t="b">
        <v>1</v>
      </c>
      <c r="D3" s="16" t="b">
        <v>1</v>
      </c>
      <c r="E3" s="16" t="b">
        <v>0</v>
      </c>
      <c r="F3" s="16" t="b">
        <v>0</v>
      </c>
      <c r="G3" s="16" t="b">
        <v>0</v>
      </c>
      <c r="H3" s="16" t="b">
        <v>0</v>
      </c>
      <c r="I3" s="16" t="b">
        <v>0</v>
      </c>
      <c r="J3" s="16" t="b">
        <v>0</v>
      </c>
      <c r="K3" s="16" t="b">
        <v>0</v>
      </c>
      <c r="L3" s="16" t="b">
        <v>0</v>
      </c>
      <c r="M3" s="16" t="b">
        <v>0</v>
      </c>
    </row>
    <row r="4" spans="1:13" x14ac:dyDescent="0.25">
      <c r="A4">
        <v>3</v>
      </c>
      <c r="B4" s="16" t="b">
        <v>1</v>
      </c>
      <c r="C4" s="16" t="b">
        <v>1</v>
      </c>
      <c r="D4" s="16" t="b">
        <v>1</v>
      </c>
      <c r="E4" s="16" t="b">
        <v>0</v>
      </c>
      <c r="F4" s="16" t="b">
        <v>0</v>
      </c>
      <c r="G4" s="16" t="b">
        <v>1</v>
      </c>
      <c r="H4" s="16" t="b">
        <v>0</v>
      </c>
      <c r="I4" s="16" t="b">
        <v>0</v>
      </c>
      <c r="J4" s="16" t="b">
        <v>0</v>
      </c>
      <c r="K4" s="16" t="b">
        <v>0</v>
      </c>
      <c r="L4" s="16" t="b">
        <v>0</v>
      </c>
      <c r="M4" s="16" t="b">
        <v>0</v>
      </c>
    </row>
    <row r="5" spans="1:13" x14ac:dyDescent="0.25">
      <c r="A5">
        <v>4</v>
      </c>
      <c r="B5" s="16" t="b">
        <v>1</v>
      </c>
      <c r="C5" s="16" t="b">
        <v>1</v>
      </c>
      <c r="D5" s="16" t="b">
        <v>0</v>
      </c>
      <c r="E5" s="16" t="b">
        <v>0</v>
      </c>
      <c r="F5" s="16" t="b">
        <v>0</v>
      </c>
      <c r="G5" s="16" t="b">
        <v>0</v>
      </c>
      <c r="H5" s="16" t="b">
        <v>0</v>
      </c>
      <c r="I5" s="16" t="b">
        <v>0</v>
      </c>
      <c r="J5" s="16" t="b">
        <v>0</v>
      </c>
      <c r="K5" s="16" t="b">
        <v>0</v>
      </c>
      <c r="L5" s="16" t="b">
        <v>0</v>
      </c>
      <c r="M5" s="16" t="b">
        <v>0</v>
      </c>
    </row>
    <row r="6" spans="1:13" x14ac:dyDescent="0.25">
      <c r="A6">
        <v>5</v>
      </c>
      <c r="B6" s="16" t="b">
        <v>1</v>
      </c>
      <c r="C6" s="16" t="b">
        <v>1</v>
      </c>
      <c r="D6" s="16" t="b">
        <v>1</v>
      </c>
      <c r="E6" s="16" t="b">
        <v>0</v>
      </c>
      <c r="F6" s="16" t="b">
        <v>0</v>
      </c>
      <c r="G6" s="16" t="b">
        <v>1</v>
      </c>
      <c r="H6" s="16" t="b">
        <v>0</v>
      </c>
      <c r="I6" s="16" t="b">
        <v>0</v>
      </c>
      <c r="J6" s="16" t="b">
        <v>0</v>
      </c>
      <c r="K6" s="16" t="b">
        <v>0</v>
      </c>
      <c r="L6" s="16" t="b">
        <v>0</v>
      </c>
      <c r="M6" s="16" t="b">
        <v>0</v>
      </c>
    </row>
    <row r="7" spans="1:13" x14ac:dyDescent="0.25">
      <c r="A7">
        <v>6</v>
      </c>
      <c r="B7" s="16" t="b">
        <v>1</v>
      </c>
      <c r="C7" s="16" t="b">
        <v>0</v>
      </c>
      <c r="D7" s="16" t="b">
        <v>0</v>
      </c>
      <c r="E7" s="16" t="b">
        <v>0</v>
      </c>
      <c r="F7" s="16" t="b">
        <v>0</v>
      </c>
      <c r="G7" s="16" t="b">
        <v>0</v>
      </c>
      <c r="H7" s="16" t="b">
        <v>0</v>
      </c>
      <c r="I7" s="16" t="b">
        <v>0</v>
      </c>
      <c r="J7" s="16" t="b">
        <v>0</v>
      </c>
      <c r="K7" s="16" t="b">
        <v>0</v>
      </c>
      <c r="L7" s="16" t="b">
        <v>0</v>
      </c>
      <c r="M7" s="16" t="b">
        <v>0</v>
      </c>
    </row>
    <row r="8" spans="1:13" x14ac:dyDescent="0.25">
      <c r="A8">
        <v>7</v>
      </c>
      <c r="B8" s="16" t="b">
        <v>1</v>
      </c>
      <c r="C8" s="16" t="b">
        <v>1</v>
      </c>
      <c r="D8" s="16" t="b">
        <v>1</v>
      </c>
      <c r="E8" s="16" t="b">
        <v>0</v>
      </c>
      <c r="F8" s="16" t="b">
        <v>0</v>
      </c>
      <c r="G8" s="16" t="b">
        <v>0</v>
      </c>
      <c r="H8" s="16" t="b">
        <v>0</v>
      </c>
      <c r="I8" s="16" t="b">
        <v>0</v>
      </c>
      <c r="J8" s="16" t="b">
        <v>0</v>
      </c>
      <c r="K8" s="16" t="b">
        <v>0</v>
      </c>
      <c r="L8" s="16" t="b">
        <v>0</v>
      </c>
      <c r="M8" s="16" t="b">
        <v>0</v>
      </c>
    </row>
    <row r="9" spans="1:13" x14ac:dyDescent="0.25">
      <c r="A9">
        <v>8</v>
      </c>
      <c r="B9" s="16" t="b">
        <v>1</v>
      </c>
      <c r="C9" s="16" t="b">
        <v>0</v>
      </c>
      <c r="D9" s="16" t="b">
        <v>1</v>
      </c>
      <c r="E9" s="16" t="b">
        <v>0</v>
      </c>
      <c r="F9" s="16" t="b">
        <v>0</v>
      </c>
      <c r="G9" s="16" t="b">
        <v>1</v>
      </c>
      <c r="H9" s="16" t="b">
        <v>0</v>
      </c>
      <c r="I9" s="16" t="b">
        <v>0</v>
      </c>
      <c r="J9" s="16" t="b">
        <v>0</v>
      </c>
      <c r="K9" s="16" t="b">
        <v>0</v>
      </c>
      <c r="L9" s="16" t="b">
        <v>0</v>
      </c>
      <c r="M9" s="16" t="b">
        <v>0</v>
      </c>
    </row>
    <row r="10" spans="1:13" x14ac:dyDescent="0.25">
      <c r="A10">
        <v>9</v>
      </c>
      <c r="B10" s="16" t="b">
        <v>0</v>
      </c>
      <c r="C10" s="16" t="b">
        <v>0</v>
      </c>
      <c r="D10" s="16" t="b">
        <v>0</v>
      </c>
      <c r="E10" s="16" t="b">
        <v>0</v>
      </c>
      <c r="F10" s="16" t="b">
        <v>0</v>
      </c>
      <c r="G10" s="16" t="b">
        <v>1</v>
      </c>
      <c r="H10" s="16" t="b">
        <v>0</v>
      </c>
      <c r="I10" s="16" t="b">
        <v>0</v>
      </c>
      <c r="J10" s="16" t="b">
        <v>0</v>
      </c>
      <c r="K10" s="16" t="b">
        <v>0</v>
      </c>
      <c r="L10" s="16" t="b">
        <v>0</v>
      </c>
      <c r="M10" s="16" t="b">
        <v>0</v>
      </c>
    </row>
    <row r="11" spans="1:13" x14ac:dyDescent="0.25">
      <c r="A11" s="16">
        <v>10</v>
      </c>
      <c r="B11" s="16" t="b">
        <v>0</v>
      </c>
      <c r="C11" s="16" t="b">
        <v>0</v>
      </c>
      <c r="D11" s="16" t="b">
        <v>0</v>
      </c>
      <c r="E11" s="16" t="b">
        <v>0</v>
      </c>
      <c r="F11" s="16" t="b">
        <v>0</v>
      </c>
      <c r="G11" s="16" t="b">
        <v>1</v>
      </c>
      <c r="H11" s="16" t="b">
        <v>0</v>
      </c>
      <c r="I11" s="16" t="b">
        <v>0</v>
      </c>
      <c r="J11" s="16" t="b">
        <v>0</v>
      </c>
      <c r="K11" s="16" t="b">
        <v>0</v>
      </c>
      <c r="L11" s="16" t="b">
        <v>0</v>
      </c>
      <c r="M11" s="16" t="b">
        <v>0</v>
      </c>
    </row>
    <row r="14" spans="1:13" x14ac:dyDescent="0.25">
      <c r="E14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78166-E20C-4E26-BFB0-63FFF11D797A}">
  <sheetPr codeName="Planilha3"/>
  <dimension ref="A1:B13"/>
  <sheetViews>
    <sheetView workbookViewId="0">
      <selection activeCell="F11" sqref="F11:BY11"/>
    </sheetView>
  </sheetViews>
  <sheetFormatPr defaultRowHeight="15" x14ac:dyDescent="0.25"/>
  <cols>
    <col min="2" max="2" width="10.7109375" customWidth="1"/>
  </cols>
  <sheetData>
    <row r="1" spans="1:2" x14ac:dyDescent="0.25">
      <c r="A1" t="s">
        <v>239</v>
      </c>
      <c r="B1" t="s">
        <v>240</v>
      </c>
    </row>
    <row r="2" spans="1:2" x14ac:dyDescent="0.25">
      <c r="A2" t="s">
        <v>224</v>
      </c>
      <c r="B2">
        <f>COUNTIF(Acompanhamento[Jan],TRUE)</f>
        <v>7</v>
      </c>
    </row>
    <row r="3" spans="1:2" x14ac:dyDescent="0.25">
      <c r="A3" t="s">
        <v>225</v>
      </c>
      <c r="B3">
        <f>COUNTIF(Acompanhamento[Fev],TRUE)</f>
        <v>5</v>
      </c>
    </row>
    <row r="4" spans="1:2" x14ac:dyDescent="0.25">
      <c r="A4" t="s">
        <v>226</v>
      </c>
      <c r="B4">
        <f>COUNTIF(Acompanhamento[Mar],TRUE)</f>
        <v>6</v>
      </c>
    </row>
    <row r="5" spans="1:2" x14ac:dyDescent="0.25">
      <c r="A5" t="s">
        <v>227</v>
      </c>
      <c r="B5">
        <f>COUNTIF(Acompanhamento[Abr],TRUE)</f>
        <v>0</v>
      </c>
    </row>
    <row r="6" spans="1:2" x14ac:dyDescent="0.25">
      <c r="A6" t="s">
        <v>228</v>
      </c>
      <c r="B6">
        <f>COUNTIF(Acompanhamento[Mai],TRUE)</f>
        <v>0</v>
      </c>
    </row>
    <row r="7" spans="1:2" x14ac:dyDescent="0.25">
      <c r="A7" t="s">
        <v>229</v>
      </c>
      <c r="B7">
        <f>COUNTIF(Acompanhamento[Jun],TRUE)</f>
        <v>6</v>
      </c>
    </row>
    <row r="8" spans="1:2" x14ac:dyDescent="0.25">
      <c r="A8" t="s">
        <v>230</v>
      </c>
      <c r="B8">
        <f>COUNTIF(Acompanhamento[Jul],TRUE)</f>
        <v>0</v>
      </c>
    </row>
    <row r="9" spans="1:2" x14ac:dyDescent="0.25">
      <c r="A9" t="s">
        <v>231</v>
      </c>
      <c r="B9">
        <f>COUNTIF(Acompanhamento[Ago],TRUE)</f>
        <v>0</v>
      </c>
    </row>
    <row r="10" spans="1:2" x14ac:dyDescent="0.25">
      <c r="A10" t="s">
        <v>232</v>
      </c>
      <c r="B10">
        <f>COUNTIF(Acompanhamento[Set],TRUE)</f>
        <v>0</v>
      </c>
    </row>
    <row r="11" spans="1:2" x14ac:dyDescent="0.25">
      <c r="A11" t="s">
        <v>233</v>
      </c>
      <c r="B11">
        <f>COUNTIF(Acompanhamento[Out],TRUE)</f>
        <v>0</v>
      </c>
    </row>
    <row r="12" spans="1:2" x14ac:dyDescent="0.25">
      <c r="A12" t="s">
        <v>234</v>
      </c>
      <c r="B12">
        <f>COUNTIF(Acompanhamento[Nov],TRUE)</f>
        <v>0</v>
      </c>
    </row>
    <row r="13" spans="1:2" x14ac:dyDescent="0.25">
      <c r="A13" t="s">
        <v>235</v>
      </c>
      <c r="B13">
        <f>COUNTIF(Acompanhamento[Dez],TRUE)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67D40-0F12-4BB3-A577-024AB77C53FD}">
  <sheetPr codeName="wksCONJUGE"/>
  <dimension ref="A1:H4"/>
  <sheetViews>
    <sheetView workbookViewId="0">
      <selection activeCell="D14" sqref="D14"/>
    </sheetView>
  </sheetViews>
  <sheetFormatPr defaultRowHeight="15" x14ac:dyDescent="0.25"/>
  <cols>
    <col min="1" max="1" width="16.85546875" customWidth="1"/>
    <col min="2" max="2" width="18.140625" bestFit="1" customWidth="1"/>
    <col min="3" max="3" width="27" bestFit="1" customWidth="1"/>
    <col min="4" max="4" width="23.42578125" bestFit="1" customWidth="1"/>
    <col min="5" max="5" width="19.85546875" customWidth="1"/>
    <col min="6" max="6" width="15" customWidth="1"/>
    <col min="7" max="7" width="19.42578125" customWidth="1"/>
    <col min="8" max="8" width="19.85546875" bestFit="1" customWidth="1"/>
  </cols>
  <sheetData>
    <row r="1" spans="1:8" x14ac:dyDescent="0.25">
      <c r="A1" s="25" t="s">
        <v>247</v>
      </c>
      <c r="B1" s="25" t="s">
        <v>248</v>
      </c>
      <c r="C1" s="26" t="s">
        <v>249</v>
      </c>
      <c r="D1" s="26" t="s">
        <v>250</v>
      </c>
      <c r="E1" s="26" t="s">
        <v>251</v>
      </c>
      <c r="F1" s="26" t="s">
        <v>252</v>
      </c>
      <c r="G1" s="26" t="s">
        <v>253</v>
      </c>
      <c r="H1" s="26" t="s">
        <v>254</v>
      </c>
    </row>
    <row r="2" spans="1:8" x14ac:dyDescent="0.25">
      <c r="A2">
        <v>1</v>
      </c>
      <c r="B2" t="s">
        <v>255</v>
      </c>
      <c r="C2" s="1">
        <v>29368</v>
      </c>
      <c r="D2">
        <v>6</v>
      </c>
      <c r="E2">
        <v>2</v>
      </c>
      <c r="F2" t="s">
        <v>24</v>
      </c>
      <c r="G2" t="s">
        <v>210</v>
      </c>
      <c r="H2" t="s">
        <v>118</v>
      </c>
    </row>
    <row r="3" spans="1:8" x14ac:dyDescent="0.25">
      <c r="A3">
        <v>2</v>
      </c>
      <c r="B3" t="s">
        <v>256</v>
      </c>
      <c r="C3" s="1">
        <v>24659</v>
      </c>
      <c r="D3">
        <v>6</v>
      </c>
      <c r="E3">
        <v>2</v>
      </c>
      <c r="F3" t="s">
        <v>24</v>
      </c>
      <c r="G3">
        <v>11897630803</v>
      </c>
      <c r="H3">
        <v>31956735208</v>
      </c>
    </row>
    <row r="4" spans="1:8" x14ac:dyDescent="0.25">
      <c r="A4">
        <v>3</v>
      </c>
      <c r="B4" t="s">
        <v>257</v>
      </c>
      <c r="C4" s="1">
        <v>40408</v>
      </c>
      <c r="D4">
        <v>6</v>
      </c>
      <c r="E4">
        <v>2</v>
      </c>
      <c r="F4" t="s">
        <v>258</v>
      </c>
      <c r="G4">
        <v>45609812378</v>
      </c>
      <c r="H4">
        <v>31962430936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EA9F2-754F-4B98-B28E-274BFDFFE31C}">
  <sheetPr codeName="wksDEPENDENTE"/>
  <dimension ref="A1:F37"/>
  <sheetViews>
    <sheetView workbookViewId="0">
      <selection activeCell="F35" sqref="F35"/>
    </sheetView>
  </sheetViews>
  <sheetFormatPr defaultRowHeight="15" x14ac:dyDescent="0.25"/>
  <cols>
    <col min="1" max="1" width="13.5703125" bestFit="1" customWidth="1"/>
    <col min="2" max="2" width="32.140625" bestFit="1" customWidth="1"/>
    <col min="3" max="3" width="25.140625" bestFit="1" customWidth="1"/>
    <col min="4" max="4" width="25.7109375" bestFit="1" customWidth="1"/>
    <col min="5" max="5" width="30.28515625" bestFit="1" customWidth="1"/>
    <col min="6" max="6" width="14.85546875" bestFit="1" customWidth="1"/>
  </cols>
  <sheetData>
    <row r="1" spans="1:6" x14ac:dyDescent="0.25">
      <c r="A1" t="s">
        <v>247</v>
      </c>
      <c r="B1" t="s">
        <v>65</v>
      </c>
      <c r="C1" t="s">
        <v>63</v>
      </c>
      <c r="D1" s="16" t="s">
        <v>243</v>
      </c>
      <c r="E1" s="16" t="s">
        <v>244</v>
      </c>
      <c r="F1" t="s">
        <v>245</v>
      </c>
    </row>
    <row r="2" spans="1:6" x14ac:dyDescent="0.25">
      <c r="A2">
        <v>1</v>
      </c>
      <c r="B2" t="s">
        <v>176</v>
      </c>
      <c r="C2" s="1">
        <v>38482</v>
      </c>
      <c r="D2" s="16" t="s">
        <v>10</v>
      </c>
      <c r="E2" s="16" t="s">
        <v>33</v>
      </c>
    </row>
    <row r="3" spans="1:6" x14ac:dyDescent="0.25">
      <c r="A3">
        <v>2</v>
      </c>
      <c r="B3" t="s">
        <v>177</v>
      </c>
      <c r="C3" s="1">
        <v>39682</v>
      </c>
      <c r="D3" s="16" t="s">
        <v>9</v>
      </c>
      <c r="E3" s="16" t="s">
        <v>33</v>
      </c>
    </row>
    <row r="4" spans="1:6" x14ac:dyDescent="0.25">
      <c r="A4">
        <v>3</v>
      </c>
      <c r="B4" t="s">
        <v>178</v>
      </c>
      <c r="C4" s="1">
        <v>40922</v>
      </c>
      <c r="D4" s="16" t="s">
        <v>8</v>
      </c>
      <c r="E4" s="16" t="s">
        <v>33</v>
      </c>
    </row>
    <row r="5" spans="1:6" x14ac:dyDescent="0.25">
      <c r="A5">
        <v>4</v>
      </c>
      <c r="B5" t="s">
        <v>183</v>
      </c>
      <c r="C5" s="1">
        <v>36689</v>
      </c>
      <c r="D5" s="16" t="s">
        <v>11</v>
      </c>
      <c r="E5" s="16" t="s">
        <v>33</v>
      </c>
    </row>
    <row r="6" spans="1:6" x14ac:dyDescent="0.25">
      <c r="A6">
        <v>5</v>
      </c>
      <c r="B6" t="s">
        <v>184</v>
      </c>
      <c r="C6" s="1">
        <v>37871</v>
      </c>
      <c r="D6" s="16" t="s">
        <v>10</v>
      </c>
      <c r="E6" s="16" t="s">
        <v>33</v>
      </c>
    </row>
    <row r="7" spans="1:6" x14ac:dyDescent="0.25">
      <c r="A7">
        <v>6</v>
      </c>
      <c r="B7" t="s">
        <v>185</v>
      </c>
      <c r="C7" s="1">
        <v>39446</v>
      </c>
      <c r="D7" s="16" t="s">
        <v>9</v>
      </c>
      <c r="E7" s="16" t="s">
        <v>33</v>
      </c>
    </row>
    <row r="8" spans="1:6" x14ac:dyDescent="0.25">
      <c r="A8">
        <v>7</v>
      </c>
      <c r="B8" t="s">
        <v>186</v>
      </c>
      <c r="C8" s="1">
        <v>40252</v>
      </c>
      <c r="D8" s="16" t="s">
        <v>8</v>
      </c>
      <c r="E8" s="16" t="s">
        <v>33</v>
      </c>
    </row>
    <row r="9" spans="1:6" x14ac:dyDescent="0.25">
      <c r="A9">
        <v>8</v>
      </c>
      <c r="B9" t="s">
        <v>187</v>
      </c>
      <c r="C9" s="1">
        <v>39489</v>
      </c>
      <c r="D9" s="16" t="s">
        <v>8</v>
      </c>
      <c r="E9" s="16" t="s">
        <v>33</v>
      </c>
    </row>
    <row r="10" spans="1:6" x14ac:dyDescent="0.25">
      <c r="A10">
        <v>9</v>
      </c>
      <c r="B10" t="s">
        <v>188</v>
      </c>
      <c r="C10" s="1">
        <v>40722</v>
      </c>
      <c r="D10" s="16" t="s">
        <v>8</v>
      </c>
      <c r="E10" s="16" t="s">
        <v>33</v>
      </c>
    </row>
    <row r="11" spans="1:6" x14ac:dyDescent="0.25">
      <c r="A11">
        <v>10</v>
      </c>
      <c r="B11" t="s">
        <v>189</v>
      </c>
      <c r="C11" s="1">
        <v>31152</v>
      </c>
      <c r="D11" s="16" t="s">
        <v>12</v>
      </c>
      <c r="E11" s="16" t="s">
        <v>33</v>
      </c>
    </row>
    <row r="12" spans="1:6" x14ac:dyDescent="0.25">
      <c r="A12">
        <v>11</v>
      </c>
      <c r="B12" t="s">
        <v>190</v>
      </c>
      <c r="C12" s="1">
        <v>32347</v>
      </c>
      <c r="D12" s="16" t="s">
        <v>14</v>
      </c>
      <c r="E12" s="16" t="s">
        <v>33</v>
      </c>
    </row>
    <row r="13" spans="1:6" x14ac:dyDescent="0.25">
      <c r="A13">
        <v>12</v>
      </c>
      <c r="B13" t="s">
        <v>191</v>
      </c>
      <c r="C13" s="1">
        <v>40461</v>
      </c>
      <c r="D13" s="16" t="s">
        <v>8</v>
      </c>
      <c r="E13" s="16" t="s">
        <v>34</v>
      </c>
    </row>
    <row r="14" spans="1:6" x14ac:dyDescent="0.25">
      <c r="A14">
        <v>13</v>
      </c>
      <c r="B14" t="s">
        <v>192</v>
      </c>
      <c r="C14" s="1">
        <v>36057</v>
      </c>
      <c r="D14" s="16">
        <v>5</v>
      </c>
      <c r="E14" s="16">
        <v>1</v>
      </c>
      <c r="F14">
        <v>2</v>
      </c>
    </row>
    <row r="15" spans="1:6" x14ac:dyDescent="0.25">
      <c r="A15">
        <v>14</v>
      </c>
      <c r="B15" t="s">
        <v>193</v>
      </c>
      <c r="C15" s="1">
        <v>24911</v>
      </c>
      <c r="D15" s="16">
        <v>8</v>
      </c>
      <c r="E15" s="16">
        <v>7</v>
      </c>
      <c r="F15">
        <v>2</v>
      </c>
    </row>
    <row r="16" spans="1:6" x14ac:dyDescent="0.25">
      <c r="A16">
        <v>15</v>
      </c>
      <c r="B16" t="s">
        <v>194</v>
      </c>
      <c r="C16" s="1">
        <v>37230</v>
      </c>
      <c r="D16" s="16">
        <v>2</v>
      </c>
      <c r="E16" s="16">
        <v>3</v>
      </c>
      <c r="F16">
        <v>2</v>
      </c>
    </row>
    <row r="17" spans="1:6" x14ac:dyDescent="0.25">
      <c r="A17">
        <v>16</v>
      </c>
      <c r="B17" t="s">
        <v>195</v>
      </c>
      <c r="C17" s="1">
        <v>43181</v>
      </c>
      <c r="D17" s="16">
        <v>10</v>
      </c>
      <c r="E17" s="16">
        <v>11</v>
      </c>
      <c r="F17">
        <v>2</v>
      </c>
    </row>
    <row r="18" spans="1:6" x14ac:dyDescent="0.25">
      <c r="A18">
        <v>17</v>
      </c>
      <c r="B18" t="s">
        <v>196</v>
      </c>
      <c r="C18" s="1">
        <v>39546</v>
      </c>
      <c r="D18" s="16" t="s">
        <v>9</v>
      </c>
      <c r="E18" s="16" t="s">
        <v>33</v>
      </c>
    </row>
    <row r="19" spans="1:6" x14ac:dyDescent="0.25">
      <c r="A19">
        <v>18</v>
      </c>
      <c r="B19" t="s">
        <v>197</v>
      </c>
      <c r="C19" s="1">
        <v>40574</v>
      </c>
      <c r="D19" s="16" t="s">
        <v>8</v>
      </c>
      <c r="E19" s="16" t="s">
        <v>33</v>
      </c>
    </row>
    <row r="20" spans="1:6" x14ac:dyDescent="0.25">
      <c r="A20">
        <v>19</v>
      </c>
      <c r="B20" t="s">
        <v>198</v>
      </c>
      <c r="C20" s="1">
        <v>20242</v>
      </c>
      <c r="D20" s="16" t="s">
        <v>8</v>
      </c>
      <c r="E20" s="16" t="s">
        <v>36</v>
      </c>
    </row>
    <row r="21" spans="1:6" x14ac:dyDescent="0.25">
      <c r="A21">
        <v>20</v>
      </c>
      <c r="B21" t="s">
        <v>199</v>
      </c>
      <c r="C21" s="1">
        <v>26613</v>
      </c>
      <c r="D21" s="16" t="s">
        <v>11</v>
      </c>
      <c r="E21" s="16" t="s">
        <v>33</v>
      </c>
    </row>
    <row r="22" spans="1:6" x14ac:dyDescent="0.25">
      <c r="A22">
        <v>21</v>
      </c>
      <c r="B22" t="s">
        <v>200</v>
      </c>
      <c r="C22" s="1">
        <v>34867</v>
      </c>
      <c r="D22" s="16" t="s">
        <v>12</v>
      </c>
      <c r="E22" s="16" t="s">
        <v>34</v>
      </c>
    </row>
    <row r="23" spans="1:6" x14ac:dyDescent="0.25">
      <c r="A23">
        <v>22</v>
      </c>
      <c r="B23" t="s">
        <v>201</v>
      </c>
      <c r="C23" s="1">
        <v>36042</v>
      </c>
      <c r="D23" s="16" t="s">
        <v>13</v>
      </c>
      <c r="E23" s="16" t="s">
        <v>34</v>
      </c>
    </row>
    <row r="24" spans="1:6" x14ac:dyDescent="0.25">
      <c r="A24">
        <v>23</v>
      </c>
      <c r="B24" t="s">
        <v>202</v>
      </c>
      <c r="C24" s="1">
        <v>43144</v>
      </c>
      <c r="D24" s="16" t="s">
        <v>7</v>
      </c>
      <c r="E24" s="16" t="s">
        <v>35</v>
      </c>
    </row>
    <row r="25" spans="1:6" x14ac:dyDescent="0.25">
      <c r="A25">
        <v>24</v>
      </c>
      <c r="B25" t="s">
        <v>203</v>
      </c>
      <c r="C25" s="1">
        <v>11441</v>
      </c>
      <c r="D25" s="16" t="s">
        <v>7</v>
      </c>
      <c r="E25" s="16" t="s">
        <v>37</v>
      </c>
    </row>
    <row r="26" spans="1:6" x14ac:dyDescent="0.25">
      <c r="A26">
        <v>25</v>
      </c>
      <c r="B26" t="s">
        <v>179</v>
      </c>
      <c r="C26" s="1">
        <v>42066</v>
      </c>
      <c r="D26" s="16">
        <v>4</v>
      </c>
      <c r="E26" s="16">
        <v>8</v>
      </c>
      <c r="F26">
        <v>1</v>
      </c>
    </row>
    <row r="27" spans="1:6" x14ac:dyDescent="0.25">
      <c r="A27">
        <v>26</v>
      </c>
      <c r="B27" t="s">
        <v>179</v>
      </c>
      <c r="C27" s="1">
        <v>34761</v>
      </c>
      <c r="D27" s="16">
        <v>10</v>
      </c>
      <c r="E27" s="16">
        <v>11</v>
      </c>
      <c r="F27">
        <v>1</v>
      </c>
    </row>
    <row r="28" spans="1:6" x14ac:dyDescent="0.25">
      <c r="A28">
        <v>27</v>
      </c>
      <c r="B28" t="s">
        <v>180</v>
      </c>
      <c r="C28" s="1">
        <v>40377</v>
      </c>
      <c r="D28" s="16" t="s">
        <v>8</v>
      </c>
      <c r="E28" s="16" t="s">
        <v>33</v>
      </c>
    </row>
    <row r="29" spans="1:6" x14ac:dyDescent="0.25">
      <c r="A29">
        <v>28</v>
      </c>
      <c r="B29" t="s">
        <v>181</v>
      </c>
      <c r="C29" s="1">
        <v>41603</v>
      </c>
      <c r="D29" s="16" t="s">
        <v>8</v>
      </c>
      <c r="E29" s="16" t="s">
        <v>33</v>
      </c>
    </row>
    <row r="30" spans="1:6" x14ac:dyDescent="0.25">
      <c r="A30">
        <v>29</v>
      </c>
      <c r="B30" t="s">
        <v>182</v>
      </c>
      <c r="C30" s="1">
        <v>42462</v>
      </c>
      <c r="D30" s="16" t="s">
        <v>7</v>
      </c>
      <c r="E30" s="16" t="s">
        <v>33</v>
      </c>
    </row>
    <row r="31" spans="1:6" x14ac:dyDescent="0.25">
      <c r="A31">
        <v>30</v>
      </c>
      <c r="B31" t="s">
        <v>242</v>
      </c>
      <c r="C31" s="1">
        <v>35533</v>
      </c>
      <c r="D31" s="16" t="s">
        <v>11</v>
      </c>
      <c r="E31" s="16" t="s">
        <v>33</v>
      </c>
    </row>
    <row r="32" spans="1:6" x14ac:dyDescent="0.25">
      <c r="A32">
        <v>31</v>
      </c>
      <c r="B32" t="s">
        <v>242</v>
      </c>
      <c r="C32" s="1">
        <v>35533</v>
      </c>
      <c r="D32" s="16" t="s">
        <v>11</v>
      </c>
      <c r="E32" s="16" t="s">
        <v>33</v>
      </c>
    </row>
    <row r="33" spans="1:6" x14ac:dyDescent="0.25">
      <c r="A33">
        <v>32</v>
      </c>
      <c r="B33" t="s">
        <v>242</v>
      </c>
      <c r="C33" s="1">
        <v>35533</v>
      </c>
      <c r="D33" s="16">
        <v>5</v>
      </c>
      <c r="E33" s="16">
        <v>1</v>
      </c>
    </row>
    <row r="34" spans="1:6" x14ac:dyDescent="0.25">
      <c r="A34">
        <v>33</v>
      </c>
      <c r="B34" t="s">
        <v>242</v>
      </c>
      <c r="C34" s="1">
        <v>36221</v>
      </c>
      <c r="D34" s="16">
        <v>4</v>
      </c>
      <c r="E34" s="16">
        <v>8</v>
      </c>
      <c r="F34">
        <v>1</v>
      </c>
    </row>
    <row r="35" spans="1:6" x14ac:dyDescent="0.25">
      <c r="A35">
        <v>34</v>
      </c>
      <c r="B35" t="s">
        <v>242</v>
      </c>
      <c r="C35" s="1">
        <v>36221</v>
      </c>
      <c r="D35" s="16">
        <v>4</v>
      </c>
      <c r="E35" s="16">
        <v>8</v>
      </c>
      <c r="F35">
        <v>2</v>
      </c>
    </row>
    <row r="36" spans="1:6" x14ac:dyDescent="0.25">
      <c r="A36">
        <v>35</v>
      </c>
      <c r="B36" t="s">
        <v>242</v>
      </c>
      <c r="C36" s="1">
        <v>35533</v>
      </c>
      <c r="D36" s="16">
        <v>5</v>
      </c>
      <c r="E36" s="16">
        <v>1</v>
      </c>
      <c r="F36">
        <v>0</v>
      </c>
    </row>
    <row r="37" spans="1:6" x14ac:dyDescent="0.25">
      <c r="A37">
        <v>36</v>
      </c>
      <c r="B37" t="s">
        <v>242</v>
      </c>
      <c r="C37" s="1">
        <v>35533</v>
      </c>
      <c r="D37" s="16">
        <v>5</v>
      </c>
      <c r="E37" s="16">
        <v>1</v>
      </c>
      <c r="F37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ABACE-5A82-4101-8603-948FF917CEF3}">
  <sheetPr codeName="Planilha1"/>
  <dimension ref="A1:AU35"/>
  <sheetViews>
    <sheetView topLeftCell="W14" workbookViewId="0">
      <selection activeCell="AB2" sqref="AB2:AF34"/>
    </sheetView>
  </sheetViews>
  <sheetFormatPr defaultRowHeight="15" x14ac:dyDescent="0.25"/>
  <cols>
    <col min="1" max="1" width="24.140625" bestFit="1" customWidth="1"/>
    <col min="2" max="2" width="27" bestFit="1" customWidth="1"/>
    <col min="3" max="3" width="22.140625" bestFit="1" customWidth="1"/>
    <col min="4" max="4" width="20.28515625" bestFit="1" customWidth="1"/>
    <col min="5" max="5" width="30.28515625" bestFit="1" customWidth="1"/>
    <col min="6" max="6" width="15.140625" bestFit="1" customWidth="1"/>
    <col min="7" max="7" width="19.85546875" bestFit="1" customWidth="1"/>
    <col min="8" max="8" width="24" bestFit="1" customWidth="1"/>
    <col min="9" max="9" width="26.28515625" bestFit="1" customWidth="1"/>
    <col min="10" max="10" width="21.42578125" bestFit="1" customWidth="1"/>
    <col min="11" max="11" width="19.5703125" bestFit="1" customWidth="1"/>
    <col min="12" max="12" width="30.28515625" bestFit="1" customWidth="1"/>
    <col min="13" max="13" width="14.42578125" bestFit="1" customWidth="1"/>
    <col min="14" max="14" width="19" bestFit="1" customWidth="1"/>
    <col min="15" max="15" width="20" bestFit="1" customWidth="1"/>
    <col min="16" max="16" width="10.5703125" bestFit="1" customWidth="1"/>
    <col min="17" max="17" width="18.42578125" bestFit="1" customWidth="1"/>
    <col min="18" max="18" width="18.140625" bestFit="1" customWidth="1"/>
    <col min="19" max="19" width="17.85546875" bestFit="1" customWidth="1"/>
    <col min="20" max="20" width="21.5703125" bestFit="1" customWidth="1"/>
    <col min="21" max="21" width="20" bestFit="1" customWidth="1"/>
    <col min="22" max="22" width="13.28515625" bestFit="1" customWidth="1"/>
    <col min="23" max="23" width="14.28515625" bestFit="1" customWidth="1"/>
    <col min="24" max="24" width="12.140625" bestFit="1" customWidth="1"/>
    <col min="25" max="25" width="13.5703125" bestFit="1" customWidth="1"/>
    <col min="26" max="26" width="16.5703125" bestFit="1" customWidth="1"/>
    <col min="28" max="28" width="13.5703125" bestFit="1" customWidth="1"/>
    <col min="29" max="29" width="24" bestFit="1" customWidth="1"/>
    <col min="30" max="30" width="25.140625" bestFit="1" customWidth="1"/>
    <col min="31" max="31" width="25.7109375" bestFit="1" customWidth="1"/>
    <col min="32" max="32" width="30.28515625" bestFit="1" customWidth="1"/>
  </cols>
  <sheetData>
    <row r="1" spans="1:47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B1" t="s">
        <v>61</v>
      </c>
      <c r="AC1" t="s">
        <v>65</v>
      </c>
      <c r="AD1" t="s">
        <v>64</v>
      </c>
      <c r="AE1" t="s">
        <v>63</v>
      </c>
      <c r="AF1" t="s">
        <v>62</v>
      </c>
    </row>
    <row r="2" spans="1:47" x14ac:dyDescent="0.25">
      <c r="A2" t="s">
        <v>106</v>
      </c>
      <c r="B2" s="1">
        <v>28561</v>
      </c>
      <c r="C2" t="s">
        <v>1</v>
      </c>
      <c r="D2" t="s">
        <v>107</v>
      </c>
      <c r="E2" t="s">
        <v>8</v>
      </c>
      <c r="F2" t="s">
        <v>209</v>
      </c>
      <c r="G2" t="s">
        <v>108</v>
      </c>
      <c r="H2" t="s">
        <v>109</v>
      </c>
      <c r="I2" s="1">
        <v>27579</v>
      </c>
      <c r="J2" t="s">
        <v>1</v>
      </c>
      <c r="K2" t="s">
        <v>22</v>
      </c>
      <c r="L2" t="s">
        <v>9</v>
      </c>
      <c r="M2" t="s">
        <v>219</v>
      </c>
      <c r="N2" t="s">
        <v>110</v>
      </c>
      <c r="O2" t="s">
        <v>111</v>
      </c>
      <c r="P2">
        <v>45</v>
      </c>
      <c r="Q2" t="s">
        <v>112</v>
      </c>
      <c r="R2" t="s">
        <v>113</v>
      </c>
      <c r="S2" s="1">
        <v>45662</v>
      </c>
      <c r="T2" t="s">
        <v>114</v>
      </c>
      <c r="U2" t="b">
        <v>1</v>
      </c>
      <c r="V2" t="s">
        <v>115</v>
      </c>
      <c r="W2" t="s">
        <v>30</v>
      </c>
      <c r="X2">
        <v>5</v>
      </c>
      <c r="Y2">
        <v>1</v>
      </c>
      <c r="Z2" t="b">
        <v>1</v>
      </c>
      <c r="AB2">
        <v>1</v>
      </c>
      <c r="AC2" t="s">
        <v>176</v>
      </c>
      <c r="AD2" s="1" t="s">
        <v>33</v>
      </c>
      <c r="AE2" s="1">
        <v>38482</v>
      </c>
      <c r="AF2" t="s">
        <v>10</v>
      </c>
    </row>
    <row r="3" spans="1:47" x14ac:dyDescent="0.25">
      <c r="A3" t="s">
        <v>116</v>
      </c>
      <c r="B3" s="1">
        <v>24068</v>
      </c>
      <c r="C3" t="s">
        <v>5</v>
      </c>
      <c r="D3" t="s">
        <v>117</v>
      </c>
      <c r="E3" t="s">
        <v>11</v>
      </c>
      <c r="F3" t="s">
        <v>210</v>
      </c>
      <c r="G3" t="s">
        <v>118</v>
      </c>
      <c r="I3" s="1"/>
      <c r="O3" t="s">
        <v>119</v>
      </c>
      <c r="P3">
        <v>112</v>
      </c>
      <c r="Q3" t="s">
        <v>120</v>
      </c>
      <c r="R3" t="s">
        <v>121</v>
      </c>
      <c r="S3" s="1">
        <v>45665</v>
      </c>
      <c r="T3" t="s">
        <v>122</v>
      </c>
      <c r="U3" t="b">
        <v>0</v>
      </c>
      <c r="W3" t="s">
        <v>29</v>
      </c>
      <c r="X3">
        <v>2</v>
      </c>
      <c r="Y3">
        <v>2</v>
      </c>
      <c r="Z3" t="b">
        <v>1</v>
      </c>
      <c r="AB3">
        <v>1</v>
      </c>
      <c r="AC3" t="s">
        <v>177</v>
      </c>
      <c r="AD3" t="s">
        <v>33</v>
      </c>
      <c r="AE3" s="1">
        <v>39682</v>
      </c>
      <c r="AF3" t="s">
        <v>9</v>
      </c>
    </row>
    <row r="4" spans="1:47" x14ac:dyDescent="0.25">
      <c r="A4" t="s">
        <v>123</v>
      </c>
      <c r="B4" s="1">
        <v>33054</v>
      </c>
      <c r="C4" t="s">
        <v>2</v>
      </c>
      <c r="D4" t="s">
        <v>124</v>
      </c>
      <c r="E4" t="s">
        <v>10</v>
      </c>
      <c r="F4" t="s">
        <v>211</v>
      </c>
      <c r="G4" t="s">
        <v>125</v>
      </c>
      <c r="I4" s="1"/>
      <c r="O4" t="s">
        <v>126</v>
      </c>
      <c r="P4">
        <v>230</v>
      </c>
      <c r="Q4" t="s">
        <v>127</v>
      </c>
      <c r="R4" t="s">
        <v>113</v>
      </c>
      <c r="S4" s="1">
        <v>45667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B4">
        <v>1</v>
      </c>
      <c r="AC4" t="s">
        <v>178</v>
      </c>
      <c r="AD4" t="s">
        <v>33</v>
      </c>
      <c r="AE4" s="1">
        <v>40922</v>
      </c>
      <c r="AF4" t="s">
        <v>8</v>
      </c>
    </row>
    <row r="5" spans="1:47" x14ac:dyDescent="0.25">
      <c r="A5" t="s">
        <v>129</v>
      </c>
      <c r="B5" s="1">
        <v>25795</v>
      </c>
      <c r="C5" t="s">
        <v>1</v>
      </c>
      <c r="D5" t="s">
        <v>130</v>
      </c>
      <c r="E5" t="s">
        <v>11</v>
      </c>
      <c r="F5" t="s">
        <v>212</v>
      </c>
      <c r="G5" t="s">
        <v>131</v>
      </c>
      <c r="H5" t="s">
        <v>132</v>
      </c>
      <c r="I5" s="1">
        <v>26715</v>
      </c>
      <c r="J5" t="s">
        <v>1</v>
      </c>
      <c r="K5" t="s">
        <v>133</v>
      </c>
      <c r="L5" t="s">
        <v>9</v>
      </c>
      <c r="M5" t="s">
        <v>220</v>
      </c>
      <c r="N5" t="s">
        <v>134</v>
      </c>
      <c r="O5" t="s">
        <v>135</v>
      </c>
      <c r="P5">
        <v>78</v>
      </c>
      <c r="Q5" t="s">
        <v>136</v>
      </c>
      <c r="R5" t="s">
        <v>113</v>
      </c>
      <c r="S5" s="1">
        <v>45669</v>
      </c>
      <c r="T5" t="s">
        <v>137</v>
      </c>
      <c r="U5" t="b">
        <v>1</v>
      </c>
      <c r="V5" t="s">
        <v>115</v>
      </c>
      <c r="W5" t="s">
        <v>29</v>
      </c>
      <c r="X5">
        <v>6</v>
      </c>
      <c r="Y5">
        <v>4</v>
      </c>
      <c r="Z5" t="b">
        <v>1</v>
      </c>
      <c r="AB5">
        <v>2</v>
      </c>
      <c r="AC5" t="s">
        <v>179</v>
      </c>
      <c r="AD5" t="s">
        <v>33</v>
      </c>
      <c r="AE5" s="1">
        <v>34761</v>
      </c>
      <c r="AF5" t="s">
        <v>14</v>
      </c>
      <c r="AK5" s="1"/>
      <c r="AU5" s="1"/>
    </row>
    <row r="6" spans="1:47" x14ac:dyDescent="0.25">
      <c r="A6" t="s">
        <v>138</v>
      </c>
      <c r="B6" s="1">
        <v>30415</v>
      </c>
      <c r="C6" t="s">
        <v>4</v>
      </c>
      <c r="D6" t="s">
        <v>139</v>
      </c>
      <c r="E6" t="s">
        <v>11</v>
      </c>
      <c r="F6" t="s">
        <v>213</v>
      </c>
      <c r="G6" t="s">
        <v>140</v>
      </c>
      <c r="I6" s="1"/>
      <c r="O6" t="s">
        <v>141</v>
      </c>
      <c r="P6">
        <v>56</v>
      </c>
      <c r="Q6" t="s">
        <v>142</v>
      </c>
      <c r="R6" t="s">
        <v>143</v>
      </c>
      <c r="S6" s="1">
        <v>45671</v>
      </c>
      <c r="T6" t="s">
        <v>122</v>
      </c>
      <c r="U6" t="b">
        <v>0</v>
      </c>
      <c r="W6" t="s">
        <v>30</v>
      </c>
      <c r="X6">
        <v>3</v>
      </c>
      <c r="Y6">
        <v>5</v>
      </c>
      <c r="Z6" t="b">
        <v>1</v>
      </c>
      <c r="AB6">
        <v>3</v>
      </c>
      <c r="AC6" t="s">
        <v>180</v>
      </c>
      <c r="AD6" t="s">
        <v>33</v>
      </c>
      <c r="AE6" s="1">
        <v>40377</v>
      </c>
      <c r="AF6" t="s">
        <v>8</v>
      </c>
      <c r="AU6" s="1"/>
    </row>
    <row r="7" spans="1:47" x14ac:dyDescent="0.25">
      <c r="A7" t="s">
        <v>144</v>
      </c>
      <c r="B7" s="1">
        <v>21537</v>
      </c>
      <c r="C7" t="s">
        <v>1</v>
      </c>
      <c r="D7" t="s">
        <v>117</v>
      </c>
      <c r="E7" t="s">
        <v>9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4</v>
      </c>
      <c r="Y7">
        <v>6</v>
      </c>
      <c r="Z7" t="b">
        <v>0</v>
      </c>
      <c r="AB7">
        <v>3</v>
      </c>
      <c r="AC7" t="s">
        <v>181</v>
      </c>
      <c r="AD7" t="s">
        <v>33</v>
      </c>
      <c r="AE7" s="1">
        <v>41603</v>
      </c>
      <c r="AF7" t="s">
        <v>8</v>
      </c>
      <c r="AU7" s="1"/>
    </row>
    <row r="8" spans="1:47" x14ac:dyDescent="0.25">
      <c r="A8" t="s">
        <v>151</v>
      </c>
      <c r="B8" s="1">
        <v>34733</v>
      </c>
      <c r="C8" t="s">
        <v>2</v>
      </c>
      <c r="D8" t="s">
        <v>152</v>
      </c>
      <c r="E8" t="s">
        <v>10</v>
      </c>
      <c r="F8" t="s">
        <v>215</v>
      </c>
      <c r="G8" t="s">
        <v>153</v>
      </c>
      <c r="I8" s="1"/>
      <c r="O8" t="s">
        <v>154</v>
      </c>
      <c r="P8">
        <v>89</v>
      </c>
      <c r="Q8" t="s">
        <v>155</v>
      </c>
      <c r="R8" t="s">
        <v>156</v>
      </c>
      <c r="S8" s="1">
        <v>45674</v>
      </c>
      <c r="T8" t="s">
        <v>137</v>
      </c>
      <c r="U8" t="b">
        <v>1</v>
      </c>
      <c r="V8" t="s">
        <v>115</v>
      </c>
      <c r="W8" t="s">
        <v>31</v>
      </c>
      <c r="X8">
        <v>5</v>
      </c>
      <c r="Y8">
        <v>7</v>
      </c>
      <c r="Z8" t="b">
        <v>1</v>
      </c>
      <c r="AB8">
        <v>3</v>
      </c>
      <c r="AC8" t="s">
        <v>182</v>
      </c>
      <c r="AD8" t="s">
        <v>33</v>
      </c>
      <c r="AE8" s="1">
        <v>42462</v>
      </c>
      <c r="AF8" t="s">
        <v>7</v>
      </c>
      <c r="AK8" s="1"/>
      <c r="AU8" s="1"/>
    </row>
    <row r="9" spans="1:47" x14ac:dyDescent="0.25">
      <c r="A9" t="s">
        <v>157</v>
      </c>
      <c r="B9" s="1">
        <v>29368</v>
      </c>
      <c r="C9" t="s">
        <v>1</v>
      </c>
      <c r="D9" t="s">
        <v>158</v>
      </c>
      <c r="E9" t="s">
        <v>11</v>
      </c>
      <c r="F9" t="s">
        <v>216</v>
      </c>
      <c r="G9" t="s">
        <v>159</v>
      </c>
      <c r="H9" t="s">
        <v>160</v>
      </c>
      <c r="I9" s="1">
        <v>30266</v>
      </c>
      <c r="J9" t="s">
        <v>1</v>
      </c>
      <c r="K9" t="s">
        <v>161</v>
      </c>
      <c r="L9" t="s">
        <v>11</v>
      </c>
      <c r="M9" t="s">
        <v>222</v>
      </c>
      <c r="N9" t="s">
        <v>162</v>
      </c>
      <c r="O9" t="s">
        <v>163</v>
      </c>
      <c r="P9">
        <v>15</v>
      </c>
      <c r="Q9" t="s">
        <v>164</v>
      </c>
      <c r="R9" t="s">
        <v>113</v>
      </c>
      <c r="S9" s="1">
        <v>45677</v>
      </c>
      <c r="T9" t="s">
        <v>122</v>
      </c>
      <c r="U9" t="b">
        <v>0</v>
      </c>
      <c r="W9" t="s">
        <v>30</v>
      </c>
      <c r="X9">
        <v>4</v>
      </c>
      <c r="Y9">
        <v>8</v>
      </c>
      <c r="Z9" t="b">
        <v>0</v>
      </c>
      <c r="AB9">
        <v>4</v>
      </c>
      <c r="AC9" t="s">
        <v>183</v>
      </c>
      <c r="AD9" t="s">
        <v>33</v>
      </c>
      <c r="AE9" s="1">
        <v>36689</v>
      </c>
      <c r="AF9" t="s">
        <v>11</v>
      </c>
      <c r="AU9" s="1"/>
    </row>
    <row r="10" spans="1:47" x14ac:dyDescent="0.25">
      <c r="A10" t="s">
        <v>165</v>
      </c>
      <c r="B10" s="1">
        <v>18155</v>
      </c>
      <c r="C10" t="s">
        <v>5</v>
      </c>
      <c r="D10" t="s">
        <v>147</v>
      </c>
      <c r="E10" t="s">
        <v>8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1</v>
      </c>
      <c r="Y10">
        <v>9</v>
      </c>
      <c r="Z10" t="b">
        <v>1</v>
      </c>
      <c r="AB10">
        <v>4</v>
      </c>
      <c r="AC10" t="s">
        <v>184</v>
      </c>
      <c r="AD10" t="s">
        <v>33</v>
      </c>
      <c r="AE10" s="1">
        <v>37871</v>
      </c>
      <c r="AF10" t="s">
        <v>10</v>
      </c>
      <c r="AK10" s="1"/>
      <c r="AU10" s="1"/>
    </row>
    <row r="11" spans="1:47" x14ac:dyDescent="0.25">
      <c r="A11" t="s">
        <v>169</v>
      </c>
      <c r="B11" s="1">
        <v>31965</v>
      </c>
      <c r="C11" t="s">
        <v>1</v>
      </c>
      <c r="D11" t="s">
        <v>25</v>
      </c>
      <c r="E11" t="s">
        <v>11</v>
      </c>
      <c r="F11" t="s">
        <v>218</v>
      </c>
      <c r="G11" t="s">
        <v>170</v>
      </c>
      <c r="H11" t="s">
        <v>171</v>
      </c>
      <c r="I11" s="1">
        <v>32586</v>
      </c>
      <c r="J11" t="s">
        <v>1</v>
      </c>
      <c r="K11" t="s">
        <v>172</v>
      </c>
      <c r="L11" t="s">
        <v>11</v>
      </c>
      <c r="M11" t="s">
        <v>223</v>
      </c>
      <c r="N11" t="s">
        <v>173</v>
      </c>
      <c r="O11" t="s">
        <v>174</v>
      </c>
      <c r="P11">
        <v>67</v>
      </c>
      <c r="Q11" t="s">
        <v>175</v>
      </c>
      <c r="R11" t="s">
        <v>113</v>
      </c>
      <c r="S11" s="1">
        <v>45681</v>
      </c>
      <c r="T11" t="s">
        <v>137</v>
      </c>
      <c r="U11" t="b">
        <v>1</v>
      </c>
      <c r="V11" t="s">
        <v>115</v>
      </c>
      <c r="W11" t="s">
        <v>30</v>
      </c>
      <c r="X11">
        <v>5</v>
      </c>
      <c r="Y11">
        <v>10</v>
      </c>
      <c r="Z11" t="b">
        <v>1</v>
      </c>
      <c r="AB11">
        <v>4</v>
      </c>
      <c r="AC11" t="s">
        <v>185</v>
      </c>
      <c r="AD11" t="s">
        <v>33</v>
      </c>
      <c r="AE11" s="1">
        <v>39446</v>
      </c>
      <c r="AF11" t="s">
        <v>9</v>
      </c>
      <c r="AU11" s="1"/>
    </row>
    <row r="12" spans="1:47" x14ac:dyDescent="0.25">
      <c r="AB12">
        <v>4</v>
      </c>
      <c r="AC12" t="s">
        <v>186</v>
      </c>
      <c r="AD12" t="s">
        <v>33</v>
      </c>
      <c r="AE12" s="1">
        <v>40252</v>
      </c>
      <c r="AF12" t="s">
        <v>8</v>
      </c>
      <c r="AK12" s="1"/>
      <c r="AU12" s="1"/>
    </row>
    <row r="13" spans="1:47" x14ac:dyDescent="0.25">
      <c r="AB13">
        <v>5</v>
      </c>
      <c r="AC13" t="s">
        <v>187</v>
      </c>
      <c r="AD13" t="s">
        <v>33</v>
      </c>
      <c r="AE13" s="1">
        <v>39489</v>
      </c>
      <c r="AF13" t="s">
        <v>8</v>
      </c>
      <c r="AU13" s="1"/>
    </row>
    <row r="14" spans="1:47" x14ac:dyDescent="0.25">
      <c r="AB14">
        <v>5</v>
      </c>
      <c r="AC14" t="s">
        <v>188</v>
      </c>
      <c r="AD14" t="s">
        <v>33</v>
      </c>
      <c r="AE14" s="1">
        <v>40722</v>
      </c>
      <c r="AF14" t="s">
        <v>8</v>
      </c>
      <c r="AK14" s="1"/>
      <c r="AU14" s="1"/>
    </row>
    <row r="15" spans="1:47" x14ac:dyDescent="0.25">
      <c r="AB15">
        <v>6</v>
      </c>
      <c r="AC15" t="s">
        <v>189</v>
      </c>
      <c r="AD15" t="s">
        <v>33</v>
      </c>
      <c r="AE15" s="1">
        <v>31152</v>
      </c>
      <c r="AF15" t="s">
        <v>12</v>
      </c>
    </row>
    <row r="16" spans="1:47" x14ac:dyDescent="0.25">
      <c r="AB16">
        <v>6</v>
      </c>
      <c r="AC16" t="s">
        <v>190</v>
      </c>
      <c r="AD16" t="s">
        <v>33</v>
      </c>
      <c r="AE16" s="1">
        <v>32347</v>
      </c>
      <c r="AF16" t="s">
        <v>14</v>
      </c>
    </row>
    <row r="17" spans="28:32" x14ac:dyDescent="0.25">
      <c r="AB17">
        <v>6</v>
      </c>
      <c r="AC17" t="s">
        <v>191</v>
      </c>
      <c r="AD17" t="s">
        <v>34</v>
      </c>
      <c r="AE17" s="1">
        <v>40461</v>
      </c>
      <c r="AF17" t="s">
        <v>8</v>
      </c>
    </row>
    <row r="18" spans="28:32" x14ac:dyDescent="0.25">
      <c r="AB18">
        <v>7</v>
      </c>
      <c r="AC18" t="s">
        <v>192</v>
      </c>
      <c r="AD18" t="s">
        <v>39</v>
      </c>
      <c r="AE18" s="1">
        <v>36057</v>
      </c>
      <c r="AF18" t="s">
        <v>13</v>
      </c>
    </row>
    <row r="19" spans="28:32" x14ac:dyDescent="0.25">
      <c r="AB19">
        <v>7</v>
      </c>
      <c r="AC19" t="s">
        <v>193</v>
      </c>
      <c r="AD19" t="s">
        <v>36</v>
      </c>
      <c r="AE19" s="1">
        <v>24911</v>
      </c>
      <c r="AF19" t="s">
        <v>8</v>
      </c>
    </row>
    <row r="20" spans="28:32" x14ac:dyDescent="0.25">
      <c r="AB20">
        <v>7</v>
      </c>
      <c r="AC20" t="s">
        <v>194</v>
      </c>
      <c r="AD20" t="s">
        <v>39</v>
      </c>
      <c r="AE20" s="1">
        <v>37230</v>
      </c>
      <c r="AF20" t="s">
        <v>11</v>
      </c>
    </row>
    <row r="21" spans="28:32" x14ac:dyDescent="0.25">
      <c r="AB21">
        <v>7</v>
      </c>
      <c r="AC21" t="s">
        <v>195</v>
      </c>
      <c r="AD21" t="s">
        <v>41</v>
      </c>
      <c r="AE21" s="1">
        <v>43181</v>
      </c>
      <c r="AF21" t="s">
        <v>7</v>
      </c>
    </row>
    <row r="22" spans="28:32" x14ac:dyDescent="0.25">
      <c r="AB22">
        <v>8</v>
      </c>
      <c r="AC22" t="s">
        <v>196</v>
      </c>
      <c r="AD22" t="s">
        <v>33</v>
      </c>
      <c r="AE22" s="1">
        <v>39546</v>
      </c>
      <c r="AF22" t="s">
        <v>9</v>
      </c>
    </row>
    <row r="23" spans="28:32" x14ac:dyDescent="0.25">
      <c r="AB23">
        <v>8</v>
      </c>
      <c r="AC23" t="s">
        <v>197</v>
      </c>
      <c r="AD23" t="s">
        <v>33</v>
      </c>
      <c r="AE23" s="1">
        <v>40574</v>
      </c>
      <c r="AF23" t="s">
        <v>8</v>
      </c>
    </row>
    <row r="24" spans="28:32" x14ac:dyDescent="0.25">
      <c r="AB24">
        <v>8</v>
      </c>
      <c r="AC24" t="s">
        <v>198</v>
      </c>
      <c r="AD24" t="s">
        <v>36</v>
      </c>
      <c r="AE24" s="1">
        <v>20242</v>
      </c>
      <c r="AF24" t="s">
        <v>8</v>
      </c>
    </row>
    <row r="25" spans="28:32" x14ac:dyDescent="0.25">
      <c r="AB25">
        <v>9</v>
      </c>
      <c r="AC25" t="s">
        <v>199</v>
      </c>
      <c r="AD25" t="s">
        <v>33</v>
      </c>
      <c r="AE25" s="1">
        <v>26613</v>
      </c>
      <c r="AF25" t="s">
        <v>11</v>
      </c>
    </row>
    <row r="26" spans="28:32" x14ac:dyDescent="0.25">
      <c r="AB26">
        <v>9</v>
      </c>
      <c r="AC26" t="s">
        <v>200</v>
      </c>
      <c r="AD26" t="s">
        <v>34</v>
      </c>
      <c r="AE26" s="1">
        <v>34867</v>
      </c>
      <c r="AF26" t="s">
        <v>12</v>
      </c>
    </row>
    <row r="27" spans="28:32" x14ac:dyDescent="0.25">
      <c r="AB27">
        <v>9</v>
      </c>
      <c r="AC27" t="s">
        <v>201</v>
      </c>
      <c r="AD27" t="s">
        <v>34</v>
      </c>
      <c r="AE27" s="1">
        <v>36042</v>
      </c>
      <c r="AF27" t="s">
        <v>13</v>
      </c>
    </row>
    <row r="28" spans="28:32" x14ac:dyDescent="0.25">
      <c r="AB28">
        <v>9</v>
      </c>
      <c r="AC28" t="s">
        <v>202</v>
      </c>
      <c r="AD28" t="s">
        <v>35</v>
      </c>
      <c r="AE28" s="1">
        <v>43144</v>
      </c>
      <c r="AF28" t="s">
        <v>7</v>
      </c>
    </row>
    <row r="29" spans="28:32" x14ac:dyDescent="0.25">
      <c r="AB29">
        <v>9</v>
      </c>
      <c r="AC29" t="s">
        <v>203</v>
      </c>
      <c r="AD29" t="s">
        <v>37</v>
      </c>
      <c r="AE29" s="1">
        <v>11441</v>
      </c>
      <c r="AF29" t="s">
        <v>7</v>
      </c>
    </row>
    <row r="30" spans="28:32" x14ac:dyDescent="0.25">
      <c r="AB30">
        <v>10</v>
      </c>
      <c r="AC30" t="s">
        <v>204</v>
      </c>
      <c r="AD30" t="s">
        <v>33</v>
      </c>
      <c r="AE30" s="1">
        <v>41104</v>
      </c>
      <c r="AF30" t="s">
        <v>8</v>
      </c>
    </row>
    <row r="31" spans="28:32" x14ac:dyDescent="0.25">
      <c r="AB31">
        <v>10</v>
      </c>
      <c r="AC31" t="s">
        <v>205</v>
      </c>
      <c r="AD31" t="s">
        <v>33</v>
      </c>
      <c r="AE31" s="1">
        <v>42280</v>
      </c>
      <c r="AF31" t="s">
        <v>8</v>
      </c>
    </row>
    <row r="32" spans="28:32" x14ac:dyDescent="0.25">
      <c r="AB32">
        <v>10</v>
      </c>
      <c r="AC32" t="s">
        <v>206</v>
      </c>
      <c r="AD32" t="s">
        <v>36</v>
      </c>
      <c r="AE32" s="1">
        <v>22515</v>
      </c>
      <c r="AF32" t="s">
        <v>8</v>
      </c>
    </row>
    <row r="33" spans="28:32" x14ac:dyDescent="0.25">
      <c r="AB33">
        <v>10</v>
      </c>
      <c r="AC33" t="s">
        <v>207</v>
      </c>
      <c r="AD33" t="s">
        <v>104</v>
      </c>
      <c r="AE33" s="1">
        <v>31196</v>
      </c>
      <c r="AF33" t="s">
        <v>11</v>
      </c>
    </row>
    <row r="34" spans="28:32" x14ac:dyDescent="0.25">
      <c r="AB34">
        <v>10</v>
      </c>
      <c r="AC34" t="s">
        <v>208</v>
      </c>
      <c r="AD34" t="s">
        <v>104</v>
      </c>
      <c r="AE34" s="1">
        <v>33308</v>
      </c>
      <c r="AF34" t="s">
        <v>11</v>
      </c>
    </row>
    <row r="35" spans="28:32" x14ac:dyDescent="0.25">
      <c r="AD35" s="1"/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C4A8-7B14-4F3A-82C7-8F4764055548}">
  <sheetPr codeName="wksGRAUS_PARENTESCO"/>
  <dimension ref="A1:A14"/>
  <sheetViews>
    <sheetView workbookViewId="0">
      <selection activeCell="A6" sqref="A6"/>
    </sheetView>
  </sheetViews>
  <sheetFormatPr defaultRowHeight="15" x14ac:dyDescent="0.25"/>
  <cols>
    <col min="1" max="1" width="18.7109375" customWidth="1"/>
  </cols>
  <sheetData>
    <row r="1" spans="1:1" x14ac:dyDescent="0.25">
      <c r="A1" t="s">
        <v>32</v>
      </c>
    </row>
    <row r="2" spans="1:1" x14ac:dyDescent="0.25">
      <c r="A2" t="s">
        <v>33</v>
      </c>
    </row>
    <row r="3" spans="1:1" x14ac:dyDescent="0.25">
      <c r="A3" t="s">
        <v>34</v>
      </c>
    </row>
    <row r="4" spans="1:1" x14ac:dyDescent="0.25">
      <c r="A4" t="s">
        <v>35</v>
      </c>
    </row>
    <row r="5" spans="1:1" x14ac:dyDescent="0.25">
      <c r="A5" t="s">
        <v>36</v>
      </c>
    </row>
    <row r="6" spans="1:1" x14ac:dyDescent="0.25">
      <c r="A6" t="s">
        <v>37</v>
      </c>
    </row>
    <row r="7" spans="1:1" x14ac:dyDescent="0.25">
      <c r="A7" t="s">
        <v>38</v>
      </c>
    </row>
    <row r="8" spans="1:1" x14ac:dyDescent="0.25">
      <c r="A8" t="s">
        <v>39</v>
      </c>
    </row>
    <row r="9" spans="1:1" x14ac:dyDescent="0.25">
      <c r="A9" t="s">
        <v>40</v>
      </c>
    </row>
    <row r="10" spans="1:1" x14ac:dyDescent="0.25">
      <c r="A10" t="s">
        <v>41</v>
      </c>
    </row>
    <row r="11" spans="1:1" x14ac:dyDescent="0.25">
      <c r="A11" t="s">
        <v>42</v>
      </c>
    </row>
    <row r="12" spans="1:1" x14ac:dyDescent="0.25">
      <c r="A12" t="s">
        <v>103</v>
      </c>
    </row>
    <row r="13" spans="1:1" x14ac:dyDescent="0.25">
      <c r="A13" t="s">
        <v>104</v>
      </c>
    </row>
    <row r="14" spans="1:1" x14ac:dyDescent="0.25">
      <c r="A14" t="s">
        <v>105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B5D37-A6A8-419B-BBEB-019BFCD3EE6B}">
  <sheetPr codeName="wksFICHA_CADASTRAL"/>
  <dimension ref="A1:BY54"/>
  <sheetViews>
    <sheetView view="pageLayout" topLeftCell="A32" zoomScaleNormal="100" workbookViewId="0">
      <selection activeCell="K38" sqref="K38:AU38"/>
    </sheetView>
  </sheetViews>
  <sheetFormatPr defaultColWidth="9.140625" defaultRowHeight="15" x14ac:dyDescent="0.25"/>
  <cols>
    <col min="1" max="77" width="1.140625" customWidth="1"/>
  </cols>
  <sheetData>
    <row r="1" spans="1:77" x14ac:dyDescent="0.25"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</row>
    <row r="2" spans="1:77" x14ac:dyDescent="0.25"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</row>
    <row r="3" spans="1:77" ht="5.25" customHeight="1" x14ac:dyDescent="0.25"/>
    <row r="4" spans="1:77" x14ac:dyDescent="0.25">
      <c r="A4" s="35" t="s">
        <v>71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</row>
    <row r="5" spans="1:77" x14ac:dyDescent="0.25">
      <c r="A5" s="12" t="s">
        <v>67</v>
      </c>
      <c r="B5" s="6"/>
      <c r="C5" s="6"/>
      <c r="D5" s="6"/>
      <c r="E5" s="6"/>
      <c r="F5" s="41" t="s">
        <v>144</v>
      </c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</row>
    <row r="6" spans="1:77" x14ac:dyDescent="0.25">
      <c r="A6" s="12" t="s">
        <v>68</v>
      </c>
      <c r="B6" s="5"/>
      <c r="C6" s="6"/>
      <c r="D6" s="6"/>
      <c r="E6" s="6"/>
      <c r="F6" s="5"/>
      <c r="G6" s="6"/>
      <c r="H6" s="6"/>
      <c r="I6" s="6"/>
      <c r="J6" s="6"/>
      <c r="K6" s="5"/>
      <c r="P6" s="43" t="str">
        <f>IFERROR(VLOOKUP(NomeAssistido,CADASTROS[],MATCH("DataNascimentoAssistido",CADASTROS[#Headers],0),0), "------")</f>
        <v>------</v>
      </c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12" t="s">
        <v>69</v>
      </c>
      <c r="AW6" s="42" t="str">
        <f>IFERROR(VLOOKUP(NomeAssistido, CADASTROS[], MATCH("EstadoCivilAssistido", CADASTROS[#Headers], 0), 0), "------")</f>
        <v>------</v>
      </c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</row>
    <row r="7" spans="1:77" x14ac:dyDescent="0.25">
      <c r="A7" s="12" t="s">
        <v>66</v>
      </c>
      <c r="B7" s="6"/>
      <c r="C7" s="6"/>
      <c r="D7" s="6"/>
      <c r="E7" s="6"/>
      <c r="G7" s="6"/>
      <c r="H7" s="6"/>
      <c r="I7" s="41" t="str">
        <f>IFERROR(VLOOKUP(NomeAssistido, CADASTROS[], MATCH("ProfissaoAssistido", CADASTROS[#Headers],0), 0), "------")</f>
        <v>------</v>
      </c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12" t="s">
        <v>70</v>
      </c>
      <c r="AX7" s="42" t="str">
        <f>IFERROR(VLOOKUP(NomeAssistido, CADASTROS[], MATCH("EscolaridadeAssistido", CADASTROS[#Headers], 0), 0), "------")</f>
        <v>------</v>
      </c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</row>
    <row r="8" spans="1:77" x14ac:dyDescent="0.25">
      <c r="A8" s="13" t="s">
        <v>78</v>
      </c>
      <c r="B8" s="6"/>
      <c r="C8" s="6"/>
      <c r="D8" s="6"/>
      <c r="E8" s="39" t="str">
        <f>IFERROR(VLOOKUP(NomeAssistido, CADASTROS[], MATCH("CPFAssistido", CADASTROS[#Headers],0), 0), "------")</f>
        <v>------</v>
      </c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12" t="s">
        <v>79</v>
      </c>
      <c r="AU8" s="40" t="str">
        <f>IFERROR(VLOOKUP(NomeAssistido, CADASTROS[], MATCH("TelefoneAssistido", CADASTROS[#Headers], 0), 0), "------")</f>
        <v>------</v>
      </c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</row>
    <row r="9" spans="1:77" ht="9" customHeight="1" x14ac:dyDescent="0.25">
      <c r="B9" s="3"/>
      <c r="C9" s="3"/>
      <c r="D9" s="3"/>
      <c r="E9" s="3"/>
      <c r="G9" s="3"/>
      <c r="H9" s="3"/>
      <c r="I9" s="3"/>
      <c r="J9" s="3"/>
    </row>
    <row r="10" spans="1:77" x14ac:dyDescent="0.25">
      <c r="A10" s="35" t="s">
        <v>102</v>
      </c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</row>
    <row r="11" spans="1:77" x14ac:dyDescent="0.25">
      <c r="A11" s="12" t="s">
        <v>67</v>
      </c>
      <c r="B11" s="6"/>
      <c r="C11" s="6"/>
      <c r="D11" s="6"/>
      <c r="E11" s="6"/>
      <c r="F11" s="41" t="str">
        <f>IFERROR(VLOOKUP(NomeAssistido, CADASTROS[], MATCH("NomeConjuge", CADASTROS[#Headers], 0), 0), "------")</f>
        <v>------</v>
      </c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</row>
    <row r="12" spans="1:77" x14ac:dyDescent="0.25">
      <c r="A12" s="12" t="s">
        <v>68</v>
      </c>
      <c r="B12" s="5"/>
      <c r="C12" s="6"/>
      <c r="D12" s="6"/>
      <c r="E12" s="6"/>
      <c r="F12" s="5"/>
      <c r="G12" s="6"/>
      <c r="H12" s="6"/>
      <c r="I12" s="6"/>
      <c r="J12" s="6"/>
      <c r="K12" s="5"/>
      <c r="P12" s="43" t="str">
        <f>IFERROR(VLOOKUP(NomeAssistido, CADASTROS[], MATCH("DataNascimentoConjuge", CADASTROS[#Headers], 0), 0), "------")</f>
        <v>------</v>
      </c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12" t="s">
        <v>69</v>
      </c>
      <c r="AW12" s="41" t="str">
        <f>IFERROR(VLOOKUP(NomeAssistido, CADASTROS[], MATCH("EstadoCivilConjuge", CADASTROS[#Headers], 0), 0), "------")</f>
        <v>------</v>
      </c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</row>
    <row r="13" spans="1:77" x14ac:dyDescent="0.25">
      <c r="A13" s="12" t="s">
        <v>66</v>
      </c>
      <c r="B13" s="6"/>
      <c r="C13" s="6"/>
      <c r="D13" s="6"/>
      <c r="E13" s="6"/>
      <c r="G13" s="6"/>
      <c r="H13" s="6"/>
      <c r="I13" s="41" t="str">
        <f>IFERROR(VLOOKUP(NomeAssistido, CADASTROS[], MATCH("ProfissaoConjuge", CADASTROS[#Headers], 0), 0), "------")</f>
        <v>------</v>
      </c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12" t="s">
        <v>70</v>
      </c>
      <c r="AX13" s="41" t="str">
        <f>IFERROR(VLOOKUP(NomeAssistido, CADASTROS[], MATCH("EscolaridadeConjuge", CADASTROS[#Headers], 0), 0), "------")</f>
        <v>------</v>
      </c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</row>
    <row r="14" spans="1:77" x14ac:dyDescent="0.25">
      <c r="A14" s="13" t="s">
        <v>78</v>
      </c>
      <c r="B14" s="6"/>
      <c r="C14" s="6"/>
      <c r="D14" s="6"/>
      <c r="E14" s="39" t="str">
        <f>IFERROR(VLOOKUP(NomeAssistido, CADASTROS[], MATCH("CPFConjuge", CADASTROS[#Headers], 0), 0), "------")</f>
        <v>------</v>
      </c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12" t="s">
        <v>79</v>
      </c>
      <c r="AU14" s="40" t="str">
        <f>IFERROR(VLOOKUP(NomeAssistido, CADASTROS[], MATCH("TelefoneConjuge", CADASTROS[#Headers], 0), 0), "------")</f>
        <v>------</v>
      </c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  <c r="BW14" s="40"/>
      <c r="BX14" s="40"/>
      <c r="BY14" s="40"/>
    </row>
    <row r="15" spans="1:77" ht="9" customHeight="1" x14ac:dyDescent="0.25">
      <c r="A15" s="7"/>
      <c r="B15" s="6"/>
      <c r="C15" s="6"/>
      <c r="D15" s="6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5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</row>
    <row r="16" spans="1:77" x14ac:dyDescent="0.25">
      <c r="A16" s="35" t="s">
        <v>83</v>
      </c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</row>
    <row r="17" spans="1:77" x14ac:dyDescent="0.25">
      <c r="B17" s="2"/>
      <c r="C17" s="2"/>
      <c r="D17" s="2"/>
      <c r="E17" s="9" t="s">
        <v>72</v>
      </c>
      <c r="F17" s="2"/>
      <c r="G17" s="2"/>
      <c r="H17" s="2"/>
      <c r="I17" s="2"/>
      <c r="J17" s="2"/>
      <c r="AW17" s="15" t="s">
        <v>80</v>
      </c>
    </row>
    <row r="18" spans="1:77" x14ac:dyDescent="0.25">
      <c r="B18" t="s">
        <v>73</v>
      </c>
      <c r="C18" s="14" t="str">
        <f>IFERROR(IF(VLOOKUP(NomeAssistido, CADASTROS[], MATCH("ParticipaProgGov?", CADASTROS[#Headers], 0), 0), "X", ""), "-")</f>
        <v>-</v>
      </c>
      <c r="D18" t="s">
        <v>74</v>
      </c>
      <c r="E18" s="15" t="s">
        <v>75</v>
      </c>
      <c r="I18" t="s">
        <v>73</v>
      </c>
      <c r="J18" s="14" t="str">
        <f>IF($C$18 = "X", "", IF($C$18 ="-", "-", "X"))</f>
        <v>-</v>
      </c>
      <c r="K18" t="s">
        <v>74</v>
      </c>
      <c r="L18" s="15" t="s">
        <v>76</v>
      </c>
      <c r="P18" s="9" t="s">
        <v>77</v>
      </c>
      <c r="U18" s="21" t="str">
        <f>IFERROR(VLOOKUP(NomeAssistido, CADASTROS[], MATCH("ProgGov", CADASTROS[#Headers], 0), 0), "------")</f>
        <v>------</v>
      </c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2"/>
      <c r="AW18" s="22"/>
      <c r="AX18" s="22"/>
      <c r="AY18" s="22"/>
      <c r="AZ18" s="22"/>
      <c r="BA18" s="22"/>
      <c r="BB18" s="22"/>
      <c r="BC18" t="s">
        <v>73</v>
      </c>
      <c r="BD18" s="14" t="str">
        <f>IFERROR(IF(VLOOKUP(NomeAssistido, CADASTROS[], MATCH("RecebeCesta?", CADASTROS[#Headers], 0), 0), "X", ""), "-")</f>
        <v>-</v>
      </c>
      <c r="BE18" t="s">
        <v>74</v>
      </c>
      <c r="BF18" s="15" t="s">
        <v>75</v>
      </c>
      <c r="BJ18" t="s">
        <v>73</v>
      </c>
      <c r="BK18" s="14" t="str">
        <f>IF($BD$18 = "X", "", IF($BD$18= "-", "-", "X"))</f>
        <v>-</v>
      </c>
      <c r="BL18" t="s">
        <v>74</v>
      </c>
      <c r="BM18" s="15" t="s">
        <v>76</v>
      </c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</row>
    <row r="19" spans="1:77" ht="9.75" customHeight="1" x14ac:dyDescent="0.25"/>
    <row r="20" spans="1:77" x14ac:dyDescent="0.25">
      <c r="A20" s="15" t="s">
        <v>81</v>
      </c>
      <c r="M20" s="34" t="str">
        <f>IFERROR(VLOOKUP(NomeAssistido, CADASTROS[], MATCH("TipoMoradia", CADASTROS[#Headers], 0), 0), "------")</f>
        <v>------</v>
      </c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Q20" s="15" t="s">
        <v>82</v>
      </c>
      <c r="BP20" s="34" t="str">
        <f>IFERROR(VLOOKUP(NomeAssistido, CADASTROS[], MATCH("NPessoas", CADASTROS[#Headers], 0), 0), "------")</f>
        <v>------</v>
      </c>
      <c r="BQ20" s="34"/>
      <c r="BR20" s="34"/>
      <c r="BS20" s="34"/>
      <c r="BT20" s="34"/>
      <c r="BU20" s="34"/>
      <c r="BV20" s="34"/>
      <c r="BW20" s="34"/>
      <c r="BX20" s="34"/>
      <c r="BY20" s="34"/>
    </row>
    <row r="21" spans="1:77" ht="8.25" customHeight="1" x14ac:dyDescent="0.25"/>
    <row r="22" spans="1:77" x14ac:dyDescent="0.25">
      <c r="A22" s="12" t="s">
        <v>67</v>
      </c>
      <c r="B22" s="6"/>
      <c r="C22" s="6"/>
      <c r="D22" s="6"/>
      <c r="E22" s="6"/>
      <c r="F22" s="38" t="str" cm="1">
        <f t="array" ref="F22">IFERROR(PROCINDICE(PARENTES[#All], keyParentes, "NomeParente", 1), "------")</f>
        <v>------</v>
      </c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12" t="s">
        <v>68</v>
      </c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37" t="str" cm="1">
        <f t="array" ref="BK22">IFERROR(PROCINDICE(PARENTES[#All], keyParentes, "DataNascimentoParente", 1), "------")</f>
        <v>------</v>
      </c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</row>
    <row r="23" spans="1:77" x14ac:dyDescent="0.25">
      <c r="A23" s="12" t="s">
        <v>70</v>
      </c>
      <c r="B23" s="5"/>
      <c r="C23" s="6"/>
      <c r="D23" s="6"/>
      <c r="E23" s="6"/>
      <c r="F23" s="5"/>
      <c r="G23" s="6"/>
      <c r="H23" s="6"/>
      <c r="I23" s="6"/>
      <c r="J23" s="6"/>
      <c r="K23" s="36" t="str" cm="1">
        <f t="array" ref="K23">IFERROR(PROCINDICE(PARENTES[#All], keyParentes, "EscolaridadeParente", 1), "------")</f>
        <v>------</v>
      </c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12" t="s">
        <v>84</v>
      </c>
      <c r="AW23" s="6"/>
      <c r="AX23" s="6"/>
      <c r="AY23" s="6"/>
      <c r="AZ23" s="6"/>
      <c r="BA23" s="6"/>
      <c r="BB23" s="6"/>
      <c r="BC23" s="6"/>
      <c r="BD23" s="6"/>
      <c r="BE23" s="38" t="str" cm="1">
        <f t="array" ref="BE23">IFERROR(PROCINDICE(PARENTES[#All], keyParentes, "GrauParentescoParente", 1), "------")</f>
        <v>------</v>
      </c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</row>
    <row r="24" spans="1:77" s="10" customFormat="1" ht="5.85" customHeight="1" x14ac:dyDescent="0.25"/>
    <row r="25" spans="1:77" x14ac:dyDescent="0.25">
      <c r="A25" s="12" t="s">
        <v>67</v>
      </c>
      <c r="B25" s="6"/>
      <c r="C25" s="6"/>
      <c r="D25" s="6"/>
      <c r="E25" s="6"/>
      <c r="F25" s="38" t="str" cm="1">
        <f t="array" ref="F25">IFERROR(PROCINDICE(PARENTES[#All], keyParentes, "NomeParente", 2), "------")</f>
        <v>------</v>
      </c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12" t="s">
        <v>68</v>
      </c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37" t="str" cm="1">
        <f t="array" ref="BK25">IFERROR(PROCINDICE(PARENTES[#All], keyParentes, "DataNascimentoParente", 2), "------")</f>
        <v>------</v>
      </c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</row>
    <row r="26" spans="1:77" x14ac:dyDescent="0.25">
      <c r="A26" s="12" t="s">
        <v>70</v>
      </c>
      <c r="B26" s="5"/>
      <c r="C26" s="6"/>
      <c r="D26" s="6"/>
      <c r="E26" s="6"/>
      <c r="F26" s="5"/>
      <c r="G26" s="6"/>
      <c r="H26" s="6"/>
      <c r="I26" s="6"/>
      <c r="J26" s="6"/>
      <c r="K26" s="36" t="str" cm="1">
        <f t="array" ref="K26">IFERROR(PROCINDICE(PARENTES[#All], keyParentes, "EscolaridadeParente", 2), "------")</f>
        <v>------</v>
      </c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12" t="s">
        <v>84</v>
      </c>
      <c r="AW26" s="6"/>
      <c r="AX26" s="6"/>
      <c r="AY26" s="6"/>
      <c r="AZ26" s="6"/>
      <c r="BA26" s="6"/>
      <c r="BB26" s="6"/>
      <c r="BC26" s="6"/>
      <c r="BD26" s="6"/>
      <c r="BE26" s="38" t="str" cm="1">
        <f t="array" ref="BE26">IFERROR(PROCINDICE(PARENTES[#All], keyParentes, "GrauParentescoParente", 2), "------")</f>
        <v>------</v>
      </c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</row>
    <row r="27" spans="1:77" s="10" customFormat="1" ht="5.8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7"/>
      <c r="AO27" s="7"/>
      <c r="AP27" s="7"/>
      <c r="AQ27" s="7"/>
      <c r="AR27" s="7"/>
      <c r="AS27" s="7"/>
      <c r="AT27" s="7"/>
      <c r="AU27" s="7"/>
      <c r="AV27" s="7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</row>
    <row r="28" spans="1:77" x14ac:dyDescent="0.25">
      <c r="A28" s="12" t="s">
        <v>67</v>
      </c>
      <c r="B28" s="6"/>
      <c r="C28" s="6"/>
      <c r="D28" s="6"/>
      <c r="E28" s="6"/>
      <c r="F28" s="38" t="str" cm="1">
        <f t="array" ref="F28">IFERROR(PROCINDICE(PARENTES[#All], keyParentes, "NomeParente", 3), "------")</f>
        <v>------</v>
      </c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12" t="s">
        <v>68</v>
      </c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37" t="str" cm="1">
        <f t="array" ref="BK28">IFERROR(PROCINDICE(PARENTES[#All], keyParentes, "DataNascimentoParente", 3), "------")</f>
        <v>------</v>
      </c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</row>
    <row r="29" spans="1:77" x14ac:dyDescent="0.25">
      <c r="A29" s="12" t="s">
        <v>70</v>
      </c>
      <c r="B29" s="5"/>
      <c r="C29" s="6"/>
      <c r="D29" s="6"/>
      <c r="E29" s="6"/>
      <c r="F29" s="5"/>
      <c r="G29" s="6"/>
      <c r="H29" s="6"/>
      <c r="I29" s="6"/>
      <c r="J29" s="6"/>
      <c r="K29" s="36" t="str" cm="1">
        <f t="array" ref="K29">IFERROR(PROCINDICE(PARENTES[#All], keyParentes, "EscolaridadeParente", 3), "------")</f>
        <v>------</v>
      </c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12" t="s">
        <v>84</v>
      </c>
      <c r="AW29" s="6"/>
      <c r="AX29" s="6"/>
      <c r="AY29" s="6"/>
      <c r="AZ29" s="6"/>
      <c r="BA29" s="6"/>
      <c r="BB29" s="6"/>
      <c r="BC29" s="6"/>
      <c r="BD29" s="6"/>
      <c r="BE29" s="38" t="str" cm="1">
        <f t="array" ref="BE29">IFERROR(PROCINDICE(PARENTES[#All], keyParentes, "GrauParentescoParente", 3), "------")</f>
        <v>------</v>
      </c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</row>
    <row r="30" spans="1:77" s="10" customFormat="1" ht="5.85" customHeight="1" x14ac:dyDescent="0.25">
      <c r="A30" s="7"/>
      <c r="B30" s="7"/>
      <c r="C30" s="7"/>
      <c r="D30" s="7"/>
      <c r="E30" s="7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</row>
    <row r="31" spans="1:77" x14ac:dyDescent="0.25">
      <c r="A31" s="12" t="s">
        <v>67</v>
      </c>
      <c r="B31" s="6"/>
      <c r="C31" s="6"/>
      <c r="D31" s="6"/>
      <c r="E31" s="6"/>
      <c r="F31" s="38" t="str" cm="1">
        <f t="array" ref="F31">IFERROR(PROCINDICE(PARENTES[#All], keyParentes, "NomeParente", 4), "------")</f>
        <v>------</v>
      </c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12" t="s">
        <v>68</v>
      </c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37" t="str" cm="1">
        <f t="array" ref="BK31">IFERROR(PROCINDICE(PARENTES[#All], keyParentes, "DataNascimentoParente", 4), "------")</f>
        <v>------</v>
      </c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</row>
    <row r="32" spans="1:77" x14ac:dyDescent="0.25">
      <c r="A32" s="12" t="s">
        <v>70</v>
      </c>
      <c r="B32" s="5"/>
      <c r="C32" s="6"/>
      <c r="D32" s="6"/>
      <c r="E32" s="6"/>
      <c r="F32" s="5"/>
      <c r="G32" s="6"/>
      <c r="H32" s="6"/>
      <c r="I32" s="6"/>
      <c r="J32" s="6"/>
      <c r="K32" s="36" t="str" cm="1">
        <f t="array" ref="K32">IFERROR(PROCINDICE(PARENTES[#All], keyParentes, "EscolaridadeParente", 4), "------")</f>
        <v>------</v>
      </c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12" t="s">
        <v>84</v>
      </c>
      <c r="AW32" s="6"/>
      <c r="AX32" s="6"/>
      <c r="AY32" s="6"/>
      <c r="AZ32" s="6"/>
      <c r="BA32" s="6"/>
      <c r="BB32" s="6"/>
      <c r="BC32" s="6"/>
      <c r="BD32" s="6"/>
      <c r="BE32" s="38" t="str" cm="1">
        <f t="array" ref="BE32">IFERROR(PROCINDICE(PARENTES[#All], keyParentes, "GrauParentescoParente", 4), "------")</f>
        <v>------</v>
      </c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</row>
    <row r="33" spans="1:77" s="10" customFormat="1" ht="5.8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"/>
      <c r="AO33" s="7"/>
      <c r="AP33" s="7"/>
      <c r="AQ33" s="7"/>
      <c r="AR33" s="7"/>
      <c r="AS33" s="7"/>
      <c r="AT33" s="7"/>
      <c r="AU33" s="7"/>
      <c r="AV33" s="7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</row>
    <row r="34" spans="1:77" x14ac:dyDescent="0.25">
      <c r="A34" s="12" t="s">
        <v>67</v>
      </c>
      <c r="B34" s="6"/>
      <c r="C34" s="6"/>
      <c r="D34" s="6"/>
      <c r="E34" s="6"/>
      <c r="F34" s="38" t="str" cm="1">
        <f t="array" ref="F34">IFERROR(PROCINDICE(PARENTES[#All], keyParentes, "NomeParente", 5), "------")</f>
        <v>------</v>
      </c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12" t="s">
        <v>68</v>
      </c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37" t="str" cm="1">
        <f t="array" ref="BK34">IFERROR(PROCINDICE(PARENTES[#All], keyParentes, "DataNascimentoParente", 5), "------")</f>
        <v>------</v>
      </c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</row>
    <row r="35" spans="1:77" x14ac:dyDescent="0.25">
      <c r="A35" s="12" t="s">
        <v>70</v>
      </c>
      <c r="B35" s="5"/>
      <c r="C35" s="6"/>
      <c r="D35" s="6"/>
      <c r="E35" s="6"/>
      <c r="F35" s="5"/>
      <c r="G35" s="6"/>
      <c r="H35" s="6"/>
      <c r="I35" s="6"/>
      <c r="J35" s="6"/>
      <c r="K35" s="36" t="str" cm="1">
        <f t="array" ref="K35">IFERROR(PROCINDICE(PARENTES[#All], keyParentes, "EscolaridadeParente", 5), "------")</f>
        <v>------</v>
      </c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12" t="s">
        <v>84</v>
      </c>
      <c r="AW35" s="6"/>
      <c r="AX35" s="6"/>
      <c r="AY35" s="6"/>
      <c r="AZ35" s="6"/>
      <c r="BA35" s="6"/>
      <c r="BB35" s="6"/>
      <c r="BC35" s="6"/>
      <c r="BD35" s="6"/>
      <c r="BE35" s="38" t="str" cm="1">
        <f t="array" ref="BE35">IFERROR(PROCINDICE(PARENTES[#All], keyParentes, "GrauParentescoParente", 5), "------")</f>
        <v>------</v>
      </c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</row>
    <row r="36" spans="1:77" s="10" customFormat="1" ht="5.8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</row>
    <row r="37" spans="1:77" x14ac:dyDescent="0.25">
      <c r="A37" s="12" t="s">
        <v>67</v>
      </c>
      <c r="B37" s="6"/>
      <c r="C37" s="6"/>
      <c r="D37" s="6"/>
      <c r="E37" s="6"/>
      <c r="F37" s="38" t="str" cm="1">
        <f t="array" ref="F37">IFERROR(PROCINDICE(PARENTES[#All], keyParentes, "NomeParente", 6), "------")</f>
        <v>------</v>
      </c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12" t="s">
        <v>68</v>
      </c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37" t="str" cm="1">
        <f t="array" ref="BK37">IFERROR(PROCINDICE(PARENTES[#All], keyParentes, "DataNascimentoParente", 6), "------")</f>
        <v>------</v>
      </c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</row>
    <row r="38" spans="1:77" x14ac:dyDescent="0.25">
      <c r="A38" s="12" t="s">
        <v>70</v>
      </c>
      <c r="B38" s="5"/>
      <c r="C38" s="6"/>
      <c r="D38" s="6"/>
      <c r="E38" s="6"/>
      <c r="F38" s="5"/>
      <c r="G38" s="6"/>
      <c r="H38" s="6"/>
      <c r="I38" s="6"/>
      <c r="J38" s="6"/>
      <c r="K38" s="36" t="str" cm="1">
        <f t="array" ref="K38">IFERROR(PROCINDICE(PARENTES[#All], keyParentes, "EscolaridadeParente", 6), "------")</f>
        <v>------</v>
      </c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12" t="s">
        <v>84</v>
      </c>
      <c r="AW38" s="6"/>
      <c r="AX38" s="6"/>
      <c r="AY38" s="6"/>
      <c r="AZ38" s="6"/>
      <c r="BA38" s="6"/>
      <c r="BB38" s="6"/>
      <c r="BC38" s="6"/>
      <c r="BD38" s="6"/>
      <c r="BE38" s="38" t="str" cm="1">
        <f t="array" ref="BE38">IFERROR(PROCINDICE(PARENTES[#All], keyParentes, "GrauParentescoParente", 6), "------")</f>
        <v>------</v>
      </c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</row>
    <row r="39" spans="1:77" s="10" customFormat="1" ht="5.85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</row>
    <row r="40" spans="1:77" x14ac:dyDescent="0.25">
      <c r="A40" s="12" t="s">
        <v>67</v>
      </c>
      <c r="B40" s="6"/>
      <c r="C40" s="6"/>
      <c r="D40" s="6"/>
      <c r="E40" s="6"/>
      <c r="F40" s="38" t="str" cm="1">
        <f t="array" ref="F40">IFERROR(PROCINDICE(PARENTES[#All], keyParentes, "NomeParente", 7), "------")</f>
        <v>------</v>
      </c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12" t="s">
        <v>68</v>
      </c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37" t="str" cm="1">
        <f t="array" ref="BK40">IFERROR(PROCINDICE(PARENTES[#All], keyParentes, "DataNascimentoParente", 7), "------")</f>
        <v>------</v>
      </c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</row>
    <row r="41" spans="1:77" x14ac:dyDescent="0.25">
      <c r="A41" s="12" t="s">
        <v>70</v>
      </c>
      <c r="B41" s="5"/>
      <c r="C41" s="6"/>
      <c r="D41" s="6"/>
      <c r="E41" s="6"/>
      <c r="F41" s="5"/>
      <c r="G41" s="6"/>
      <c r="H41" s="6"/>
      <c r="I41" s="6"/>
      <c r="J41" s="6"/>
      <c r="K41" s="36" t="str" cm="1">
        <f t="array" ref="K41">IFERROR(PROCINDICE(PARENTES[#All], keyParentes, "EscolaridadeParente", 7), "------")</f>
        <v>------</v>
      </c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12" t="s">
        <v>84</v>
      </c>
      <c r="AW41" s="6"/>
      <c r="AX41" s="6"/>
      <c r="AY41" s="6"/>
      <c r="AZ41" s="6"/>
      <c r="BA41" s="6"/>
      <c r="BB41" s="6"/>
      <c r="BC41" s="6"/>
      <c r="BD41" s="6"/>
      <c r="BE41" s="38" t="str" cm="1">
        <f t="array" ref="BE41">IFERROR(PROCINDICE(PARENTES[#All], keyParentes, "GrauParentescoParente", 7), "------")</f>
        <v>------</v>
      </c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</row>
    <row r="42" spans="1:77" x14ac:dyDescent="0.25">
      <c r="A42" s="12"/>
      <c r="B42" s="5"/>
      <c r="C42" s="6"/>
      <c r="D42" s="6"/>
      <c r="E42" s="6"/>
      <c r="F42" s="5"/>
      <c r="G42" s="6"/>
      <c r="H42" s="6"/>
      <c r="I42" s="6"/>
      <c r="J42" s="6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12"/>
      <c r="AW42" s="6"/>
      <c r="AX42" s="6"/>
      <c r="AY42" s="6"/>
      <c r="AZ42" s="6"/>
      <c r="BA42" s="6"/>
      <c r="BB42" s="6"/>
      <c r="BC42" s="6"/>
      <c r="BD42" s="6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</row>
    <row r="43" spans="1:77" x14ac:dyDescent="0.25">
      <c r="A43" s="12" t="s">
        <v>241</v>
      </c>
      <c r="B43" s="5"/>
      <c r="C43" s="6"/>
      <c r="D43" s="6"/>
      <c r="E43" s="6"/>
      <c r="F43" s="5"/>
      <c r="G43" s="6"/>
      <c r="H43" s="6"/>
      <c r="I43" s="4" t="str">
        <f>IFERROR(VLOOKUP(NomeAssistido, CADASTROS[], MATCH("Logradouro", CADASTROS[#Headers], 0), 0) &amp; ", " &amp;
        VLOOKUP(NomeAssistido, CADASTROS[], MATCH("Numero", CADASTROS[#Headers], 0), 0) &amp; ", " &amp;
        VLOOKUP(NomeAssistido, CADASTROS[], MATCH("Bairro", CADASTROS[#Headers], 0), 0) &amp; ", " &amp;
        VLOOKUP(NomeAssistido, CADASTROS[], MATCH("Cidade", CADASTROS[#Headers], 0), 0), "------")</f>
        <v>------</v>
      </c>
      <c r="J43" s="4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24"/>
      <c r="AW43" s="4"/>
      <c r="AX43" s="4"/>
      <c r="AY43" s="4"/>
      <c r="AZ43" s="4"/>
      <c r="BA43" s="4"/>
      <c r="BB43" s="4"/>
      <c r="BC43" s="4"/>
      <c r="BD43" s="4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</row>
    <row r="44" spans="1:77" s="10" customFormat="1" ht="18.75" customHeight="1" x14ac:dyDescent="0.25"/>
    <row r="45" spans="1:77" ht="15" customHeight="1" x14ac:dyDescent="0.25">
      <c r="A45" s="45" t="s">
        <v>85</v>
      </c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45"/>
      <c r="BE45" s="45"/>
      <c r="BF45" s="45"/>
      <c r="BG45" s="45"/>
      <c r="BH45" s="45"/>
      <c r="BI45" s="45"/>
      <c r="BJ45" s="45"/>
      <c r="BK45" s="45"/>
      <c r="BL45" s="45"/>
      <c r="BM45" s="45"/>
      <c r="BN45" s="45"/>
      <c r="BO45" s="45"/>
      <c r="BP45" s="45"/>
      <c r="BQ45" s="45"/>
      <c r="BR45" s="45"/>
      <c r="BS45" s="45"/>
      <c r="BT45" s="45"/>
      <c r="BU45" s="45"/>
      <c r="BV45" s="45"/>
      <c r="BW45" s="45"/>
      <c r="BX45" s="45"/>
      <c r="BY45" s="45"/>
    </row>
    <row r="46" spans="1:77" x14ac:dyDescent="0.25">
      <c r="A46" t="s">
        <v>86</v>
      </c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t="s">
        <v>87</v>
      </c>
      <c r="BF46" t="s">
        <v>90</v>
      </c>
    </row>
    <row r="47" spans="1:77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t="s">
        <v>91</v>
      </c>
    </row>
    <row r="48" spans="1:77" x14ac:dyDescent="0.25">
      <c r="A48" t="s">
        <v>92</v>
      </c>
    </row>
    <row r="49" spans="1:77" x14ac:dyDescent="0.25">
      <c r="A49" t="s">
        <v>88</v>
      </c>
    </row>
    <row r="50" spans="1:77" ht="10.5" customHeight="1" x14ac:dyDescent="0.25"/>
    <row r="51" spans="1:77" x14ac:dyDescent="0.25"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</row>
    <row r="52" spans="1:77" x14ac:dyDescent="0.25">
      <c r="P52" s="44" t="s">
        <v>89</v>
      </c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</row>
    <row r="53" spans="1:77" ht="9.75" customHeight="1" x14ac:dyDescent="0.25"/>
    <row r="54" spans="1:77" x14ac:dyDescent="0.25">
      <c r="A54" t="s">
        <v>93</v>
      </c>
      <c r="J54" s="43" t="str">
        <f>IFERROR(VLOOKUP(NomeAssistido, CADASTROS[], MATCH("DataSindicancia", CADASTROS[#Headers], 0), 0), "------")</f>
        <v>------</v>
      </c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F54" t="s">
        <v>94</v>
      </c>
      <c r="AM54" s="34" t="str">
        <f>IFERROR(VLOOKUP(NomeAssistido, CADASTROS[], MATCH("NomeVisitador", CADASTROS[#Headers], 0), 0), "------")</f>
        <v>------</v>
      </c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</row>
  </sheetData>
  <mergeCells count="51">
    <mergeCell ref="J54:AD54"/>
    <mergeCell ref="AM54:BY54"/>
    <mergeCell ref="BK31:BY31"/>
    <mergeCell ref="K32:AU32"/>
    <mergeCell ref="BE32:BY32"/>
    <mergeCell ref="BK34:BY34"/>
    <mergeCell ref="K35:AU35"/>
    <mergeCell ref="BE35:BY35"/>
    <mergeCell ref="P52:BG52"/>
    <mergeCell ref="K41:AU41"/>
    <mergeCell ref="BE41:BY41"/>
    <mergeCell ref="A45:BY45"/>
    <mergeCell ref="BK25:BY25"/>
    <mergeCell ref="K26:AU26"/>
    <mergeCell ref="BE26:BY26"/>
    <mergeCell ref="F40:AU40"/>
    <mergeCell ref="BK37:BY37"/>
    <mergeCell ref="K38:AU38"/>
    <mergeCell ref="BE38:BY38"/>
    <mergeCell ref="BK40:BY40"/>
    <mergeCell ref="F28:AU28"/>
    <mergeCell ref="F25:AU25"/>
    <mergeCell ref="BK28:BY28"/>
    <mergeCell ref="F34:AU34"/>
    <mergeCell ref="F31:AU31"/>
    <mergeCell ref="K29:AU29"/>
    <mergeCell ref="BE29:BY29"/>
    <mergeCell ref="F37:AU37"/>
    <mergeCell ref="E8:AM8"/>
    <mergeCell ref="AU8:BY8"/>
    <mergeCell ref="E14:AM14"/>
    <mergeCell ref="AU14:BY14"/>
    <mergeCell ref="A4:BY4"/>
    <mergeCell ref="A10:BY10"/>
    <mergeCell ref="I7:AM7"/>
    <mergeCell ref="AX7:BY7"/>
    <mergeCell ref="AW6:BY6"/>
    <mergeCell ref="P6:AM6"/>
    <mergeCell ref="F5:BY5"/>
    <mergeCell ref="F11:BY11"/>
    <mergeCell ref="P12:AM12"/>
    <mergeCell ref="AW12:BY12"/>
    <mergeCell ref="I13:AM13"/>
    <mergeCell ref="AX13:BY13"/>
    <mergeCell ref="M20:AO20"/>
    <mergeCell ref="BP20:BY20"/>
    <mergeCell ref="A16:BY16"/>
    <mergeCell ref="K23:AU23"/>
    <mergeCell ref="BK22:BY22"/>
    <mergeCell ref="BE23:BY23"/>
    <mergeCell ref="F22:AU22"/>
  </mergeCells>
  <pageMargins left="0.511811024" right="0.511811024" top="0.78740157499999996" bottom="0.78740157499999996" header="0.31496062000000002" footer="0.31496062000000002"/>
  <pageSetup paperSize="9" orientation="portrait" r:id="rId1"/>
  <headerFooter>
    <oddHeader>&amp;L&amp;G
&amp;C&amp;"-,Negrito"&amp;26            ASSOCIAÇÃO DIACOMO CUSMANO&amp;"-,Regular"&amp;11
            Paróquia de Santo Antônio - Igarapé - MG</oddHead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2AFC-67F6-4BD8-B12A-7CCC3309ED24}">
  <sheetPr codeName="wksTIPO_MORADIA"/>
  <dimension ref="A1:A4"/>
  <sheetViews>
    <sheetView workbookViewId="0">
      <selection sqref="A1:A4"/>
    </sheetView>
  </sheetViews>
  <sheetFormatPr defaultRowHeight="15" x14ac:dyDescent="0.25"/>
  <cols>
    <col min="1" max="1" width="14.85546875" customWidth="1"/>
  </cols>
  <sheetData>
    <row r="1" spans="1:1" x14ac:dyDescent="0.25">
      <c r="A1" t="s">
        <v>19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4EC7C-C674-4576-88EC-98A683E3C95B}">
  <sheetPr codeName="wksESTADOS_CIVIS"/>
  <dimension ref="A1:A6"/>
  <sheetViews>
    <sheetView workbookViewId="0">
      <selection sqref="A1:A6"/>
    </sheetView>
  </sheetViews>
  <sheetFormatPr defaultRowHeight="15" x14ac:dyDescent="0.25"/>
  <cols>
    <col min="1" max="1" width="25.140625" bestFit="1" customWidth="1"/>
  </cols>
  <sheetData>
    <row r="1" spans="1:1" x14ac:dyDescent="0.25">
      <c r="A1" t="s">
        <v>0</v>
      </c>
    </row>
    <row r="2" spans="1:1" x14ac:dyDescent="0.25">
      <c r="A2" t="s">
        <v>2</v>
      </c>
    </row>
    <row r="3" spans="1:1" x14ac:dyDescent="0.25">
      <c r="A3" t="s">
        <v>1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4518F-92DA-434F-A0B1-DD9258E268AC}">
  <sheetPr codeName="wksESCOLARIDADES"/>
  <dimension ref="A1:A13"/>
  <sheetViews>
    <sheetView workbookViewId="0">
      <selection activeCell="D22" sqref="D22"/>
    </sheetView>
  </sheetViews>
  <sheetFormatPr defaultRowHeight="15" x14ac:dyDescent="0.25"/>
  <cols>
    <col min="1" max="1" width="30.28515625" bestFit="1" customWidth="1"/>
  </cols>
  <sheetData>
    <row r="1" spans="1:1" x14ac:dyDescent="0.25">
      <c r="A1" t="s">
        <v>6</v>
      </c>
    </row>
    <row r="2" spans="1:1" x14ac:dyDescent="0.25">
      <c r="A2" t="s">
        <v>7</v>
      </c>
    </row>
    <row r="3" spans="1:1" x14ac:dyDescent="0.25">
      <c r="A3" t="s">
        <v>8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  <row r="13" spans="1:1" x14ac:dyDescent="0.25">
      <c r="A13" t="s">
        <v>18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9672B-A708-41D7-A87F-0553D1E6F20C}">
  <sheetPr codeName="wksPROFISSOES"/>
  <dimension ref="A1:A8"/>
  <sheetViews>
    <sheetView workbookViewId="0">
      <selection activeCell="A8" sqref="A8"/>
    </sheetView>
  </sheetViews>
  <sheetFormatPr defaultRowHeight="15" x14ac:dyDescent="0.25"/>
  <cols>
    <col min="1" max="1" width="12.42578125" customWidth="1"/>
  </cols>
  <sheetData>
    <row r="1" spans="1:1" x14ac:dyDescent="0.25">
      <c r="A1" t="s">
        <v>20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26</v>
      </c>
    </row>
    <row r="7" spans="1:1" x14ac:dyDescent="0.25">
      <c r="A7" t="s">
        <v>27</v>
      </c>
    </row>
    <row r="8" spans="1:1" x14ac:dyDescent="0.25">
      <c r="A8" t="s">
        <v>28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FFE16-5E4F-4BD3-A851-861E0B7BB8F7}">
  <sheetPr codeName="wksPROGRAMAS_GOV"/>
  <dimension ref="A1:A2"/>
  <sheetViews>
    <sheetView workbookViewId="0">
      <selection activeCell="A3" sqref="A3"/>
    </sheetView>
  </sheetViews>
  <sheetFormatPr defaultRowHeight="15" x14ac:dyDescent="0.25"/>
  <cols>
    <col min="1" max="1" width="29.85546875" bestFit="1" customWidth="1"/>
  </cols>
  <sheetData>
    <row r="1" spans="1:1" x14ac:dyDescent="0.25">
      <c r="A1" t="s">
        <v>21</v>
      </c>
    </row>
    <row r="2" spans="1:1" x14ac:dyDescent="0.25">
      <c r="A2" t="s">
        <v>237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UI/customUI.xml><?xml version="1.0" encoding="utf-8"?>
<customUI xmlns="http://schemas.microsoft.com/office/2006/01/customui">
  <ribbon>
    <tabs>
      <tab insertBeforeMso="TabHome" id="CustomTab1" label="BOCADO DO POBRE">
        <group id="SampleGroup1" label="Administrativo">
          <button id="Button1" label="Cadastrar" size="large" imageMso="DataFormAddRecord" onAction="Cadastrar"/>
          <button id="Button2" label="Gerar Ficha" size="large" imageMso="FindDialog" onAction="BuscarCadastro"/>
          <button id="Button3" label="Atualizar Cadastro" size="large" imageMso="RecordsSaveRecord" onAction="Atualizar"/>
          <button id="Button4" label="Deletar Cadastro" size="large" imageMso="DataFormDeleteRecord" onAction="Deletar"/>
        </group>
        <group id="SampleGroup2" label="Acompanhamento">
          <button id="Button5" label="Acompanhamento Mensal" size="large" imageMso="ViewAppointmentInCalendar" onAction="AcompanhamentoMensa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E227-7BE5-4B41-AEF1-0D47F675DB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9</vt:i4>
      </vt:variant>
    </vt:vector>
  </HeadingPairs>
  <TitlesOfParts>
    <vt:vector size="24" baseType="lpstr">
      <vt:lpstr>MENU</vt:lpstr>
      <vt:lpstr>CADASTRO</vt:lpstr>
      <vt:lpstr>ASSISTIDO</vt:lpstr>
      <vt:lpstr>ACOMPANHAMENTO</vt:lpstr>
      <vt:lpstr>TABELAS_AUXILIARES</vt:lpstr>
      <vt:lpstr>CONJUGE</vt:lpstr>
      <vt:lpstr>DEPENDENTE</vt:lpstr>
      <vt:lpstr>DADOS_DE_TESTE</vt:lpstr>
      <vt:lpstr>GRAUS_PARENTESCO</vt:lpstr>
      <vt:lpstr>FICHA_CADASTRAL</vt:lpstr>
      <vt:lpstr>TIPO_MORADIA</vt:lpstr>
      <vt:lpstr>ESTADOS_CIVIS</vt:lpstr>
      <vt:lpstr>ESCOLARIDADES</vt:lpstr>
      <vt:lpstr>PROFISSOES</vt:lpstr>
      <vt:lpstr>PROGRAMAS_GOV</vt:lpstr>
      <vt:lpstr>CamposParentesDocumento</vt:lpstr>
      <vt:lpstr>Espaco1</vt:lpstr>
      <vt:lpstr>Espaco2</vt:lpstr>
      <vt:lpstr>Espaco3</vt:lpstr>
      <vt:lpstr>Espaco4</vt:lpstr>
      <vt:lpstr>Espaco5</vt:lpstr>
      <vt:lpstr>Espaco6</vt:lpstr>
      <vt:lpstr>Espaco7</vt:lpstr>
      <vt:lpstr>NomeAssistido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Couto</dc:creator>
  <cp:lastModifiedBy>Victor Couto</cp:lastModifiedBy>
  <cp:lastPrinted>2026-06-12T02:47:54Z</cp:lastPrinted>
  <dcterms:created xsi:type="dcterms:W3CDTF">2026-06-02T00:17:23Z</dcterms:created>
  <dcterms:modified xsi:type="dcterms:W3CDTF">2026-06-17T01:17:38Z</dcterms:modified>
</cp:coreProperties>
</file>