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694" documentId="8_{4D8E80CC-674F-4C25-B921-617157F312F2}" xr6:coauthVersionLast="47" xr6:coauthVersionMax="47" xr10:uidLastSave="{5AE369E0-79E8-4F9B-836D-14BC9DA3C0D9}"/>
  <bookViews>
    <workbookView xWindow="-120" yWindow="-120" windowWidth="20730" windowHeight="11040" tabRatio="890" xr2:uid="{FD1134B4-C37A-482C-B875-A4A14024FB80}"/>
  </bookViews>
  <sheets>
    <sheet name="MENU" sheetId="1" r:id="rId1"/>
    <sheet name="CADASTROS" sheetId="10" state="hidden" r:id="rId2"/>
    <sheet name="ACOMPANHAMENTO" sheetId="14" state="hidden" r:id="rId3"/>
    <sheet name="TABELAS_AUXILIARES" sheetId="16" state="hidden" r:id="rId4"/>
    <sheet name="PARENTES" sheetId="5" state="hidden" r:id="rId5"/>
    <sheet name="DADOS_DE_TESTE" sheetId="12" state="hidden" r:id="rId6"/>
    <sheet name="FICHA_CADASTRAL" sheetId="11" r:id="rId7"/>
    <sheet name="GRAUS_PARENTESCO" sheetId="9" state="hidden" r:id="rId8"/>
    <sheet name="TIPO_MORADIA" sheetId="8" state="hidden" r:id="rId9"/>
    <sheet name="ESTADOS_CIVIS" sheetId="3" state="hidden" r:id="rId10"/>
    <sheet name="ESCOLARIDADES" sheetId="4" state="hidden" r:id="rId11"/>
    <sheet name="PROFISSOES" sheetId="6" state="hidden" r:id="rId12"/>
    <sheet name="PROGRAMAS_GOV" sheetId="7" state="hidden" r:id="rId13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BK40" i="11" a="1"/>
  <c r="BE26" i="11" a="1"/>
  <c r="BK22" i="11" a="1"/>
  <c r="F25" i="11" a="1"/>
  <c r="BK25" i="11" a="1"/>
  <c r="F34" i="11" a="1"/>
  <c r="BE23" i="11" a="1"/>
  <c r="K41" i="11" a="1"/>
  <c r="BE32" i="11" a="1"/>
  <c r="F40" i="11" a="1"/>
  <c r="BE41" i="11" a="1"/>
  <c r="K23" i="11" a="1"/>
  <c r="K32" i="11" a="1"/>
  <c r="F22" i="11" a="1"/>
  <c r="BK28" i="11" a="1"/>
  <c r="K35" i="11" a="1"/>
  <c r="K26" i="11" a="1"/>
  <c r="BE38" i="11" a="1"/>
  <c r="F28" i="11" a="1"/>
  <c r="BE35" i="11" a="1"/>
  <c r="F37" i="11" a="1"/>
  <c r="K38" i="11" a="1"/>
  <c r="BE29" i="11" a="1"/>
  <c r="K29" i="11" a="1"/>
  <c r="BK34" i="11" a="1"/>
  <c r="BK31" i="11" a="1"/>
  <c r="BK37" i="11" a="1"/>
  <c r="F31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<sst xmlns="http://schemas.openxmlformats.org/spreadsheetml/2006/main" count="672" uniqueCount="243">
  <si>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</si>
  <si>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</si>
  <si>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</si>
  <si>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</si>
  <si>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</si>
  <si>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</si>
  <si>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</si>
  <si>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</si>
  <si>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</si>
  <si>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</si>
  <si>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</si>
  <si>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</si>
  <si>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</si>
  <si>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</si>
  <si>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</si>
  <si>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</si>
  <si>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</si>
  <si>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</si>
  <si>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</si>
  <si>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</si>
  <si>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</si>
  <si>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</si>
  <si>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</si>
  <si>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</si>
  <si>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</si>
  <si>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</si>
  <si>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</si>
  <si>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</si>
  <si>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</si>
  <si>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</si>
  <si>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</si>
  <si>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</si>
  <si>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</si>
  <si>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</si>
  <si>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</si>
  <si>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</si>
  <si>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</si>
  <si>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</si>
  <si>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</si>
  <si>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</si>
  <si>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</si>
  <si>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</si>
  <si>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</si>
  <si>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</si>
  <si>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</si>
  <si>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</si>
  <si>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</si>
  <si>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</si>
  <si>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</si>
  <si>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</si>
  <si>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</si>
  <si>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</si>
  <si>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</si>
  <si>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</si>
  <si>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</si>
  <si>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</si>
  <si>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</si>
  <si>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</si>
  <si>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</si>
  <si>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</si>
  <si>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</si>
  <si>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</si>
  <si>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</si>
  <si>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</si>
  <si>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</si>
  <si>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</si>
  <si>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</si>
  <si>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</si>
  <si>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</si>
  <si>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</si>
  <si>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</si>
  <si>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</si>
  <si>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</si>
  <si>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</si>
  <si>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</si>
  <si>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</si>
  <si>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</si>
  <si>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</si>
  <si>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</si>
  <si>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</si>
  <si>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</si>
  <si>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</si>
  <si>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</si>
  <si>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</si>
  <si>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</si>
  <si>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</si>
  <si>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</si>
  <si>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</si>
  <si>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</si>
  <si>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</si>
  <si>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</si>
  <si>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</si>
  <si>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</si>
  <si>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</si>
  <si>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</si>
  <si>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</si>
  <si>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</si>
  <si>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</si>
  <si>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</si>
  <si>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</si>
  <si>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</si>
  <si>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</si>
  <si>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</si>
  <si>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</si>
  <si>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</si>
  <si>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</si>
  <si>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</si>
  <si>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</si>
  <si>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</si>
  <si>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</si>
  <si>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</si>
  <si>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</si>
  <si>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</si>
  <si>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</si>
  <si>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</si>
  <si>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</si>
  <si>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</si>
  <si>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</si>
  <si>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</si>
  <si>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</si>
  <si>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</si>
  <si>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</si>
  <si>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</si>
  <si>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</si>
  <si>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</si>
  <si>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</si>
  <si>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</si>
  <si>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</si>
  <si>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</si>
  <si>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</si>
  <si>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</si>
  <si>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</si>
  <si>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</si>
  <si>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</si>
  <si>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</si>
  <si>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</si>
  <si>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</si>
  <si>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</si>
  <si>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</si>
  <si>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</si>
  <si>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</si>
  <si>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</si>
  <si>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</si>
  <si>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</si>
  <si>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</si>
  <si>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</si>
  <si>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</si>
  <si>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</si>
  <si>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</si>
  <si>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</si>
  <si>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</si>
  <si>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</si>
  <si>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</si>
  <si>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</si>
  <si>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</si>
  <si>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</si>
  <si>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</si>
  <si>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</si>
  <si>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</si>
  <si>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</si>
  <si>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</si>
  <si>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</si>
  <si>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</si>
  <si>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</si>
  <si>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</si>
  <si>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</si>
  <si>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</si>
  <si>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</si>
  <si>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</si>
  <si>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</si>
  <si>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</si>
  <si>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</si>
  <si>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</si>
  <si>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</si>
  <si>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</si>
  <si>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</si>
  <si>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</si>
  <si>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</si>
  <si>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</si>
  <si>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</si>
  <si>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</si>
  <si>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</si>
  <si>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</si>
  <si>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</si>
  <si>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</si>
  <si>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</si>
  <si>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</si>
  <si>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</si>
  <si>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</si>
  <si>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</si>
  <si>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</si>
  <si>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</si>
  <si>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</si>
  <si>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</si>
  <si>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</si>
  <si>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</si>
  <si>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</si>
  <si>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</si>
  <si>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</si>
  <si>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</si>
  <si>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</si>
  <si>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</si>
  <si>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</si>
  <si>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</si>
  <si>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</si>
  <si>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</si>
  <si>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</si>
  <si>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</si>
  <si>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</si>
  <si>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</si>
  <si>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</si>
  <si>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</si>
  <si>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</si>
  <si>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</si>
  <si>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</si>
  <si>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</si>
  <si>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</si>
  <si>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</si>
  <si>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</si>
  <si>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</si>
  <si>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</si>
  <si>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</si>
  <si>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</si>
  <si>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</si>
  <si>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Auxlixar de Limpeza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</si>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</sst>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19" fontId="0" fillId="0" borderId="0" xfId="0" applyNumberForma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22"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166" formatCode="m/d/yyyy"/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AA10" totalsRowShown="0">
  <autoFilter ref="A1:AA10" xr:uid="{0FD0A3F6-7A0C-49AF-9E20-5A523DEBD191}"/>
  <sortState xmlns:xlrd2="http://schemas.microsoft.com/office/spreadsheetml/2017/richdata2" ref="A2:AA10">
    <sortCondition ref="A1:A10"/>
  </sortState>
  <tableColumns count="27">
    <tableColumn id="1" xr3:uid="{7C73FD22-45FF-460E-BC58-669273AAB06B}" name="NomeAssistido"/>
    <tableColumn id="2" xr3:uid="{95CF41B7-C3A0-4192-B1F6-46CD87A4788C}" name="DataNascimentoAssistido" dataDxfId="21"/>
    <tableColumn id="3" xr3:uid="{BBD7AEEE-7467-498B-9833-818012324219}" name="EstadoCivilAssistido"/>
    <tableColumn id="4" xr3:uid="{6E83ECC9-743F-4E8A-9B3F-CF4242EBBED1}" name="ProfissaoAssistido"/>
    <tableColumn id="5" xr3:uid="{B8D43D59-ED48-4C7B-A7CB-4BC6F00276B6}" name="Escolaridade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e"/>
    <tableColumn id="9" xr3:uid="{A37596B1-FD24-474A-9DBF-616B22757ADF}" name="DataNascimentoConjuge" dataDxfId="20"/>
    <tableColumn id="10" xr3:uid="{D885C048-5670-48B6-ABE3-D6A34E9F05B3}" name="EstadoCivilConjuge"/>
    <tableColumn id="11" xr3:uid="{89748D31-1E97-47DC-B648-869111C6DC07}" name="ProfissaoConjuge"/>
    <tableColumn id="12" xr3:uid="{39236158-5455-4071-B1CA-D589ACC25287}" name="EscolaridadeConjuge"/>
    <tableColumn id="13" xr3:uid="{F22D0048-9AED-4B78-8171-161AC465D858}" name="CPFConjuge"/>
    <tableColumn id="14" xr3:uid="{D7A2ADBE-6333-44F9-82A8-12B120C2FC34}" name="TelefoneConjug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 dataDxfId="19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  <tableColumn id="27" xr3:uid="{628FE335-0807-45FB-94C4-EE1A85843D05}" name="KeyAcompanhament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18"/>
    <tableColumn id="8" xr3:uid="{3692651C-4D8A-4D18-820D-0CA629F413D1}" name="Jan" dataDxfId="17"/>
    <tableColumn id="9" xr3:uid="{1DA296C9-3C1F-4105-8AE6-2BCCFEDE2175}" name="Fev" dataDxfId="16"/>
    <tableColumn id="10" xr3:uid="{0D5481BA-3AE5-4172-922E-5321CD923C4C}" name="Mar" dataDxfId="15"/>
    <tableColumn id="11" xr3:uid="{43CDB5DF-2E1F-421B-9EC5-8F93F8DACAF5}" name="Abr" dataDxfId="14"/>
    <tableColumn id="12" xr3:uid="{D04A26DD-1318-4208-A1CB-279726E45685}" name="Mai" dataDxfId="13"/>
    <tableColumn id="13" xr3:uid="{E55555DD-9B07-4803-A857-C45478AD72CD}" name="Jun" dataDxfId="12"/>
    <tableColumn id="1" xr3:uid="{F8558262-87C2-43E0-A48C-159BB14311B5}" name="Jul" dataDxfId="11"/>
    <tableColumn id="3" xr3:uid="{DA358C54-86DB-4661-BEC3-EEDA75D2B78D}" name="Ago" dataDxfId="10"/>
    <tableColumn id="4" xr3:uid="{598C98A8-FA82-450B-BF95-189DFBD5D463}" name="Set" dataDxfId="9"/>
    <tableColumn id="5" xr3:uid="{81622C4F-6124-4E72-B2B0-5659AB4ACA48}" name="Out" dataDxfId="8"/>
    <tableColumn id="6" xr3:uid="{D4C17119-76C7-4B0E-A518-41F9972E3162}" name="Nov" dataDxfId="7"/>
    <tableColumn id="7" xr3:uid="{02524F18-A8AF-410A-AEC1-7E0751B0E45A}" name="Dez" dataDxfId="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E30" totalsRowShown="0">
  <autoFilter ref="A1:E30" xr:uid="{367E6C2F-1005-4E45-ADAA-049405029246}"/>
  <tableColumns count="5">
    <tableColumn id="1" xr3:uid="{0ED41406-040A-4E22-A5E0-C23E1CF7AF54}" name="KeyParente"/>
    <tableColumn id="2" xr3:uid="{93E7CC29-FDEC-4A04-8B57-1B56CBA9CA65}" name="NomeParente"/>
    <tableColumn id="3" xr3:uid="{56466016-BC3B-4F3B-9119-C6EDB4737E88}" name="GrauParentescoParente" dataDxfId="5"/>
    <tableColumn id="4" xr3:uid="{1EDC8AA1-1D79-4404-90CB-53282C95E288}" name="DataNascimentoParente" dataDxfId="4"/>
    <tableColumn id="5" xr3:uid="{7937C30B-6471-4FB4-96E2-EBA4EC0D6A05}" name="EscolaridadeParente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3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2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1"/>
    <tableColumn id="4" xr3:uid="{6BE994B7-EF7B-4CCD-9108-5FD2AC9C88D9}" name="DataNascimentoParente" dataDxfId="0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tabSelected="1" workbookViewId="0">
      <selection activeCell="I17" sqref="I17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6" t="e" vm="1">
        <v>#VALUE!</v>
      </c>
      <c r="B1" s="26"/>
      <c r="C1" s="26"/>
      <c r="D1" s="29" t="s">
        <v>239</v>
      </c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18"/>
      <c r="W1" s="18"/>
      <c r="X1" s="19"/>
      <c r="Y1" s="19"/>
      <c r="Z1" s="19"/>
    </row>
    <row r="2" spans="1:26" x14ac:dyDescent="0.25">
      <c r="A2" s="27"/>
      <c r="B2" s="27"/>
      <c r="C2" s="27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18"/>
      <c r="W2" s="18"/>
      <c r="X2" s="19"/>
      <c r="Y2" s="19"/>
      <c r="Z2" s="19"/>
    </row>
    <row r="3" spans="1:26" x14ac:dyDescent="0.25">
      <c r="A3" s="27"/>
      <c r="B3" s="27"/>
      <c r="C3" s="27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18"/>
      <c r="W3" s="18"/>
      <c r="X3" s="19"/>
      <c r="Y3" s="19"/>
      <c r="Z3" s="19"/>
    </row>
    <row r="4" spans="1:26" x14ac:dyDescent="0.25">
      <c r="A4" s="27"/>
      <c r="B4" s="27"/>
      <c r="C4" s="27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18"/>
      <c r="W4" s="18"/>
      <c r="X4" s="19"/>
      <c r="Y4" s="19"/>
      <c r="Z4" s="19"/>
    </row>
    <row r="5" spans="1:26" x14ac:dyDescent="0.25">
      <c r="A5" s="27"/>
      <c r="B5" s="27"/>
      <c r="C5" s="27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18"/>
      <c r="W5" s="18"/>
      <c r="X5" s="19"/>
      <c r="Y5" s="19"/>
      <c r="Z5" s="19"/>
    </row>
    <row r="6" spans="1:26" x14ac:dyDescent="0.25">
      <c r="A6" s="27"/>
      <c r="B6" s="27"/>
      <c r="C6" s="27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18"/>
      <c r="W6" s="18"/>
      <c r="X6" s="19"/>
      <c r="Y6" s="19"/>
      <c r="Z6" s="19"/>
    </row>
    <row r="7" spans="1:26" x14ac:dyDescent="0.25">
      <c r="A7" s="27"/>
      <c r="B7" s="27"/>
      <c r="C7" s="27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18"/>
      <c r="W7" s="18"/>
      <c r="X7" s="19"/>
      <c r="Y7" s="19"/>
      <c r="Z7" s="19"/>
    </row>
    <row r="8" spans="1:26" x14ac:dyDescent="0.25">
      <c r="A8" s="28"/>
      <c r="B8" s="28"/>
      <c r="C8" s="28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19"/>
      <c r="W8" s="19"/>
      <c r="X8" s="19"/>
      <c r="Y8" s="19"/>
      <c r="Z8" s="19"/>
    </row>
    <row r="9" spans="1:26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6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6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6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6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6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6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6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21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</row>
    <row r="43" spans="1:21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</row>
    <row r="44" spans="1:21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</row>
    <row r="45" spans="1:21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AA10"/>
  <sheetViews>
    <sheetView topLeftCell="R1" workbookViewId="0">
      <selection activeCell="F11" sqref="F11:BY11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9" max="9" width="11.28515625" bestFit="1" customWidth="1"/>
    <col min="19" max="19" width="10.42578125" bestFit="1" customWidth="1"/>
    <col min="21" max="21" width="12.140625" bestFit="1" customWidth="1"/>
    <col min="26" max="26" width="12.140625" bestFit="1" customWidth="1"/>
    <col min="27" max="27" width="23.140625" bestFit="1" customWidth="1"/>
  </cols>
  <sheetData>
    <row r="1" spans="1:2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A1" t="s">
        <v>237</v>
      </c>
    </row>
    <row r="2" spans="1:27" x14ac:dyDescent="0.25">
      <c r="A2" t="s">
        <v>129</v>
      </c>
      <c r="B2" s="1">
        <v>25795</v>
      </c>
      <c r="C2" t="s">
        <v>1</v>
      </c>
      <c r="D2" t="s">
        <v>130</v>
      </c>
      <c r="E2" t="s">
        <v>11</v>
      </c>
      <c r="F2" t="s">
        <v>212</v>
      </c>
      <c r="G2" t="s">
        <v>131</v>
      </c>
      <c r="H2" t="s">
        <v>132</v>
      </c>
      <c r="I2" s="1">
        <v>26715</v>
      </c>
      <c r="J2" t="s">
        <v>1</v>
      </c>
      <c r="K2" t="s">
        <v>133</v>
      </c>
      <c r="L2" t="s">
        <v>9</v>
      </c>
      <c r="M2" t="s">
        <v>220</v>
      </c>
      <c r="N2" t="s">
        <v>134</v>
      </c>
      <c r="O2" t="s">
        <v>135</v>
      </c>
      <c r="P2">
        <v>78</v>
      </c>
      <c r="Q2" t="s">
        <v>136</v>
      </c>
      <c r="R2" t="s">
        <v>113</v>
      </c>
      <c r="S2" s="1">
        <v>45669</v>
      </c>
      <c r="T2" t="s">
        <v>137</v>
      </c>
      <c r="U2" t="b">
        <v>1</v>
      </c>
      <c r="V2" t="s">
        <v>115</v>
      </c>
      <c r="W2" t="s">
        <v>29</v>
      </c>
      <c r="X2">
        <v>4</v>
      </c>
      <c r="Y2">
        <v>4</v>
      </c>
      <c r="Z2" t="b">
        <v>1</v>
      </c>
      <c r="AA2">
        <v>2</v>
      </c>
    </row>
    <row r="3" spans="1:27" x14ac:dyDescent="0.25">
      <c r="A3" t="s">
        <v>157</v>
      </c>
      <c r="B3" s="1">
        <v>29368</v>
      </c>
      <c r="C3" t="s">
        <v>1</v>
      </c>
      <c r="D3" t="s">
        <v>158</v>
      </c>
      <c r="E3" t="s">
        <v>11</v>
      </c>
      <c r="F3" t="s">
        <v>216</v>
      </c>
      <c r="G3" t="s">
        <v>159</v>
      </c>
      <c r="H3" t="s">
        <v>160</v>
      </c>
      <c r="I3" s="1">
        <v>30266</v>
      </c>
      <c r="J3" t="s">
        <v>1</v>
      </c>
      <c r="K3" t="s">
        <v>161</v>
      </c>
      <c r="L3" t="s">
        <v>11</v>
      </c>
      <c r="M3" t="s">
        <v>222</v>
      </c>
      <c r="N3" t="s">
        <v>162</v>
      </c>
      <c r="O3" t="s">
        <v>163</v>
      </c>
      <c r="P3">
        <v>15</v>
      </c>
      <c r="Q3" t="s">
        <v>164</v>
      </c>
      <c r="R3" t="s">
        <v>113</v>
      </c>
      <c r="S3" s="1">
        <v>45677</v>
      </c>
      <c r="T3" t="s">
        <v>122</v>
      </c>
      <c r="U3" t="b">
        <v>0</v>
      </c>
      <c r="W3" t="s">
        <v>30</v>
      </c>
      <c r="X3">
        <v>3</v>
      </c>
      <c r="Y3">
        <v>8</v>
      </c>
      <c r="Z3" t="b">
        <v>0</v>
      </c>
      <c r="AA3">
        <v>6</v>
      </c>
    </row>
    <row r="4" spans="1:27" x14ac:dyDescent="0.25">
      <c r="A4" t="s">
        <v>123</v>
      </c>
      <c r="B4" s="1">
        <v>33054</v>
      </c>
      <c r="C4" t="s">
        <v>2</v>
      </c>
      <c r="D4" t="s">
        <v>224</v>
      </c>
      <c r="E4" t="s">
        <v>10</v>
      </c>
      <c r="F4">
        <v>87973271074</v>
      </c>
      <c r="G4">
        <v>31991237654</v>
      </c>
      <c r="I4" s="16">
        <v>0</v>
      </c>
      <c r="O4" t="s">
        <v>126</v>
      </c>
      <c r="P4">
        <v>230</v>
      </c>
      <c r="Q4" t="s">
        <v>127</v>
      </c>
      <c r="R4" t="s">
        <v>113</v>
      </c>
      <c r="S4" s="1">
        <v>46183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A4">
        <v>9</v>
      </c>
    </row>
    <row r="5" spans="1:27" x14ac:dyDescent="0.25">
      <c r="A5" t="s">
        <v>151</v>
      </c>
      <c r="B5" s="1">
        <v>34733</v>
      </c>
      <c r="C5" t="s">
        <v>2</v>
      </c>
      <c r="D5" t="s">
        <v>152</v>
      </c>
      <c r="E5" t="s">
        <v>10</v>
      </c>
      <c r="F5" t="s">
        <v>215</v>
      </c>
      <c r="G5" t="s">
        <v>153</v>
      </c>
      <c r="I5" s="1"/>
      <c r="O5" t="s">
        <v>154</v>
      </c>
      <c r="P5">
        <v>89</v>
      </c>
      <c r="Q5" t="s">
        <v>155</v>
      </c>
      <c r="R5" t="s">
        <v>156</v>
      </c>
      <c r="S5" s="1">
        <v>45674</v>
      </c>
      <c r="T5" t="s">
        <v>137</v>
      </c>
      <c r="U5" t="b">
        <v>1</v>
      </c>
      <c r="V5" t="s">
        <v>115</v>
      </c>
      <c r="W5" t="s">
        <v>31</v>
      </c>
      <c r="X5">
        <v>4</v>
      </c>
      <c r="Y5">
        <v>7</v>
      </c>
      <c r="Z5" t="b">
        <v>1</v>
      </c>
      <c r="AA5">
        <v>5</v>
      </c>
    </row>
    <row r="6" spans="1:27" x14ac:dyDescent="0.25">
      <c r="A6" t="s">
        <v>106</v>
      </c>
      <c r="B6" s="1">
        <v>28561</v>
      </c>
      <c r="C6" t="s">
        <v>1</v>
      </c>
      <c r="D6" t="s">
        <v>107</v>
      </c>
      <c r="E6" t="s">
        <v>8</v>
      </c>
      <c r="F6" t="s">
        <v>209</v>
      </c>
      <c r="G6" t="s">
        <v>108</v>
      </c>
      <c r="H6" t="s">
        <v>109</v>
      </c>
      <c r="I6" s="1">
        <v>27579</v>
      </c>
      <c r="J6" t="s">
        <v>1</v>
      </c>
      <c r="K6" t="s">
        <v>22</v>
      </c>
      <c r="L6" t="s">
        <v>9</v>
      </c>
      <c r="M6" t="s">
        <v>219</v>
      </c>
      <c r="N6" t="s">
        <v>110</v>
      </c>
      <c r="O6" t="s">
        <v>111</v>
      </c>
      <c r="P6">
        <v>45</v>
      </c>
      <c r="Q6" t="s">
        <v>112</v>
      </c>
      <c r="R6" t="s">
        <v>113</v>
      </c>
      <c r="S6" s="1">
        <v>45662</v>
      </c>
      <c r="T6" t="s">
        <v>114</v>
      </c>
      <c r="U6" t="b">
        <v>1</v>
      </c>
      <c r="V6" t="s">
        <v>115</v>
      </c>
      <c r="W6" t="s">
        <v>30</v>
      </c>
      <c r="X6">
        <v>3</v>
      </c>
      <c r="Y6">
        <v>1</v>
      </c>
      <c r="Z6" t="b">
        <v>1</v>
      </c>
      <c r="AA6">
        <v>1</v>
      </c>
    </row>
    <row r="7" spans="1:2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3</v>
      </c>
      <c r="Y7">
        <v>6</v>
      </c>
      <c r="Z7" t="b">
        <v>0</v>
      </c>
      <c r="AA7">
        <v>4</v>
      </c>
    </row>
    <row r="8" spans="1:27" x14ac:dyDescent="0.25">
      <c r="A8" t="s">
        <v>116</v>
      </c>
      <c r="B8" s="1">
        <v>24068</v>
      </c>
      <c r="C8" t="s">
        <v>5</v>
      </c>
      <c r="D8" t="s">
        <v>117</v>
      </c>
      <c r="E8" t="s">
        <v>11</v>
      </c>
      <c r="F8" t="s">
        <v>210</v>
      </c>
      <c r="G8" t="s">
        <v>118</v>
      </c>
      <c r="I8" s="16">
        <v>0</v>
      </c>
      <c r="O8" t="s">
        <v>119</v>
      </c>
      <c r="P8">
        <v>112</v>
      </c>
      <c r="Q8" t="s">
        <v>120</v>
      </c>
      <c r="R8" t="s">
        <v>121</v>
      </c>
      <c r="S8" s="1">
        <v>45665</v>
      </c>
      <c r="T8" t="s">
        <v>122</v>
      </c>
      <c r="U8" t="b">
        <v>0</v>
      </c>
      <c r="W8" t="s">
        <v>29</v>
      </c>
      <c r="X8">
        <v>1</v>
      </c>
      <c r="Y8">
        <v>2</v>
      </c>
      <c r="Z8" t="b">
        <v>1</v>
      </c>
      <c r="AA8">
        <v>8</v>
      </c>
    </row>
    <row r="9" spans="1:27" x14ac:dyDescent="0.25">
      <c r="A9" t="s">
        <v>138</v>
      </c>
      <c r="B9" s="1">
        <v>30415</v>
      </c>
      <c r="C9" t="s">
        <v>4</v>
      </c>
      <c r="D9" t="s">
        <v>139</v>
      </c>
      <c r="E9" t="s">
        <v>11</v>
      </c>
      <c r="F9" t="s">
        <v>213</v>
      </c>
      <c r="G9" t="s">
        <v>140</v>
      </c>
      <c r="I9" s="1"/>
      <c r="O9" t="s">
        <v>141</v>
      </c>
      <c r="P9">
        <v>56</v>
      </c>
      <c r="Q9" t="s">
        <v>142</v>
      </c>
      <c r="R9" t="s">
        <v>143</v>
      </c>
      <c r="S9" s="1">
        <v>45671</v>
      </c>
      <c r="T9" t="s">
        <v>122</v>
      </c>
      <c r="U9" t="b">
        <v>0</v>
      </c>
      <c r="W9" t="s">
        <v>30</v>
      </c>
      <c r="X9">
        <v>2</v>
      </c>
      <c r="Y9">
        <v>5</v>
      </c>
      <c r="Z9" t="b">
        <v>1</v>
      </c>
      <c r="AA9">
        <v>3</v>
      </c>
    </row>
    <row r="10" spans="1:2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5</v>
      </c>
      <c r="Y10">
        <v>9</v>
      </c>
      <c r="Z10" t="b">
        <v>1</v>
      </c>
      <c r="AA10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7" t="s">
        <v>237</v>
      </c>
      <c r="B1" s="17" t="s">
        <v>225</v>
      </c>
      <c r="C1" s="17" t="s">
        <v>226</v>
      </c>
      <c r="D1" s="17" t="s">
        <v>227</v>
      </c>
      <c r="E1" s="17" t="s">
        <v>228</v>
      </c>
      <c r="F1" s="17" t="s">
        <v>229</v>
      </c>
      <c r="G1" s="17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</row>
    <row r="2" spans="1:13" x14ac:dyDescent="0.25">
      <c r="A2">
        <v>1</v>
      </c>
      <c r="B2" s="17" t="b">
        <v>1</v>
      </c>
      <c r="C2" s="17" t="b">
        <v>0</v>
      </c>
      <c r="D2" s="17" t="b">
        <v>1</v>
      </c>
      <c r="E2" s="17" t="b">
        <v>0</v>
      </c>
      <c r="F2" s="17" t="b">
        <v>0</v>
      </c>
      <c r="G2" s="17" t="b">
        <v>1</v>
      </c>
      <c r="H2" s="17" t="b">
        <v>0</v>
      </c>
      <c r="I2" s="17" t="b">
        <v>0</v>
      </c>
      <c r="J2" s="17" t="b">
        <v>0</v>
      </c>
      <c r="K2" s="17" t="b">
        <v>0</v>
      </c>
      <c r="L2" s="17" t="b">
        <v>0</v>
      </c>
      <c r="M2" s="17" t="b">
        <v>0</v>
      </c>
    </row>
    <row r="3" spans="1:13" x14ac:dyDescent="0.25">
      <c r="A3">
        <v>2</v>
      </c>
      <c r="B3" s="17" t="b">
        <v>0</v>
      </c>
      <c r="C3" s="17" t="b">
        <v>1</v>
      </c>
      <c r="D3" s="17" t="b">
        <v>1</v>
      </c>
      <c r="E3" s="17" t="b">
        <v>0</v>
      </c>
      <c r="F3" s="17" t="b">
        <v>0</v>
      </c>
      <c r="G3" s="17" t="b">
        <v>0</v>
      </c>
      <c r="H3" s="17" t="b">
        <v>0</v>
      </c>
      <c r="I3" s="17" t="b">
        <v>0</v>
      </c>
      <c r="J3" s="17" t="b">
        <v>0</v>
      </c>
      <c r="K3" s="17" t="b">
        <v>0</v>
      </c>
      <c r="L3" s="17" t="b">
        <v>0</v>
      </c>
      <c r="M3" s="17" t="b">
        <v>0</v>
      </c>
    </row>
    <row r="4" spans="1:13" x14ac:dyDescent="0.25">
      <c r="A4">
        <v>3</v>
      </c>
      <c r="B4" s="17" t="b">
        <v>1</v>
      </c>
      <c r="C4" s="17" t="b">
        <v>1</v>
      </c>
      <c r="D4" s="17" t="b">
        <v>1</v>
      </c>
      <c r="E4" s="17" t="b">
        <v>0</v>
      </c>
      <c r="F4" s="17" t="b">
        <v>0</v>
      </c>
      <c r="G4" s="17" t="b">
        <v>1</v>
      </c>
      <c r="H4" s="17" t="b">
        <v>0</v>
      </c>
      <c r="I4" s="17" t="b">
        <v>0</v>
      </c>
      <c r="J4" s="17" t="b">
        <v>0</v>
      </c>
      <c r="K4" s="17" t="b">
        <v>0</v>
      </c>
      <c r="L4" s="17" t="b">
        <v>0</v>
      </c>
      <c r="M4" s="17" t="b">
        <v>0</v>
      </c>
    </row>
    <row r="5" spans="1:13" x14ac:dyDescent="0.25">
      <c r="A5">
        <v>4</v>
      </c>
      <c r="B5" s="17" t="b">
        <v>1</v>
      </c>
      <c r="C5" s="17" t="b">
        <v>1</v>
      </c>
      <c r="D5" s="17" t="b">
        <v>0</v>
      </c>
      <c r="E5" s="17" t="b">
        <v>0</v>
      </c>
      <c r="F5" s="17" t="b">
        <v>0</v>
      </c>
      <c r="G5" s="17" t="b">
        <v>0</v>
      </c>
      <c r="H5" s="17" t="b">
        <v>0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0</v>
      </c>
    </row>
    <row r="6" spans="1:13" x14ac:dyDescent="0.25">
      <c r="A6">
        <v>5</v>
      </c>
      <c r="B6" s="17" t="b">
        <v>1</v>
      </c>
      <c r="C6" s="17" t="b">
        <v>1</v>
      </c>
      <c r="D6" s="17" t="b">
        <v>1</v>
      </c>
      <c r="E6" s="17" t="b">
        <v>0</v>
      </c>
      <c r="F6" s="17" t="b">
        <v>0</v>
      </c>
      <c r="G6" s="17" t="b">
        <v>1</v>
      </c>
      <c r="H6" s="17" t="b">
        <v>0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0</v>
      </c>
    </row>
    <row r="7" spans="1:13" x14ac:dyDescent="0.25">
      <c r="A7">
        <v>6</v>
      </c>
      <c r="B7" s="17" t="b">
        <v>1</v>
      </c>
      <c r="C7" s="17" t="b">
        <v>0</v>
      </c>
      <c r="D7" s="17" t="b">
        <v>0</v>
      </c>
      <c r="E7" s="17" t="b">
        <v>0</v>
      </c>
      <c r="F7" s="17" t="b">
        <v>0</v>
      </c>
      <c r="G7" s="17" t="b">
        <v>0</v>
      </c>
      <c r="H7" s="17" t="b">
        <v>0</v>
      </c>
      <c r="I7" s="17" t="b">
        <v>0</v>
      </c>
      <c r="J7" s="17" t="b">
        <v>0</v>
      </c>
      <c r="K7" s="17" t="b">
        <v>0</v>
      </c>
      <c r="L7" s="17" t="b">
        <v>0</v>
      </c>
      <c r="M7" s="17" t="b">
        <v>0</v>
      </c>
    </row>
    <row r="8" spans="1:13" x14ac:dyDescent="0.25">
      <c r="A8">
        <v>7</v>
      </c>
      <c r="B8" s="17" t="b">
        <v>1</v>
      </c>
      <c r="C8" s="17" t="b">
        <v>1</v>
      </c>
      <c r="D8" s="17" t="b">
        <v>1</v>
      </c>
      <c r="E8" s="17" t="b">
        <v>0</v>
      </c>
      <c r="F8" s="17" t="b">
        <v>0</v>
      </c>
      <c r="G8" s="17" t="b">
        <v>0</v>
      </c>
      <c r="H8" s="17" t="b">
        <v>0</v>
      </c>
      <c r="I8" s="17" t="b">
        <v>0</v>
      </c>
      <c r="J8" s="17" t="b">
        <v>0</v>
      </c>
      <c r="K8" s="17" t="b">
        <v>0</v>
      </c>
      <c r="L8" s="17" t="b">
        <v>0</v>
      </c>
      <c r="M8" s="17" t="b">
        <v>0</v>
      </c>
    </row>
    <row r="9" spans="1:13" x14ac:dyDescent="0.25">
      <c r="A9">
        <v>8</v>
      </c>
      <c r="B9" s="17" t="b">
        <v>1</v>
      </c>
      <c r="C9" s="17" t="b">
        <v>0</v>
      </c>
      <c r="D9" s="17" t="b">
        <v>1</v>
      </c>
      <c r="E9" s="17" t="b">
        <v>0</v>
      </c>
      <c r="F9" s="17" t="b">
        <v>0</v>
      </c>
      <c r="G9" s="17" t="b">
        <v>1</v>
      </c>
      <c r="H9" s="17" t="b">
        <v>0</v>
      </c>
      <c r="I9" s="17" t="b">
        <v>0</v>
      </c>
      <c r="J9" s="17" t="b">
        <v>0</v>
      </c>
      <c r="K9" s="17" t="b">
        <v>0</v>
      </c>
      <c r="L9" s="17" t="b">
        <v>0</v>
      </c>
      <c r="M9" s="17" t="b">
        <v>0</v>
      </c>
    </row>
    <row r="10" spans="1:13" x14ac:dyDescent="0.25">
      <c r="A10">
        <v>9</v>
      </c>
      <c r="B10" s="17" t="b">
        <v>0</v>
      </c>
      <c r="C10" s="17" t="b">
        <v>0</v>
      </c>
      <c r="D10" s="17" t="b">
        <v>0</v>
      </c>
      <c r="E10" s="17" t="b">
        <v>0</v>
      </c>
      <c r="F10" s="17" t="b">
        <v>0</v>
      </c>
      <c r="G10" s="17" t="b">
        <v>1</v>
      </c>
      <c r="H10" s="17" t="b">
        <v>0</v>
      </c>
      <c r="I10" s="17" t="b">
        <v>0</v>
      </c>
      <c r="J10" s="17" t="b">
        <v>0</v>
      </c>
      <c r="K10" s="17" t="b">
        <v>0</v>
      </c>
      <c r="L10" s="17" t="b">
        <v>0</v>
      </c>
      <c r="M10" s="17" t="b">
        <v>0</v>
      </c>
    </row>
    <row r="11" spans="1:13" x14ac:dyDescent="0.25">
      <c r="A11" s="17">
        <v>10</v>
      </c>
      <c r="B11" s="17" t="b">
        <v>0</v>
      </c>
      <c r="C11" s="17" t="b">
        <v>0</v>
      </c>
      <c r="D11" s="17" t="b">
        <v>0</v>
      </c>
      <c r="E11" s="17" t="b">
        <v>0</v>
      </c>
      <c r="F11" s="17" t="b">
        <v>0</v>
      </c>
      <c r="G11" s="17" t="b">
        <v>1</v>
      </c>
      <c r="H11" s="17" t="b">
        <v>0</v>
      </c>
      <c r="I11" s="17" t="b">
        <v>0</v>
      </c>
      <c r="J11" s="17" t="b">
        <v>0</v>
      </c>
      <c r="K11" s="17" t="b">
        <v>0</v>
      </c>
      <c r="L11" s="17" t="b">
        <v>0</v>
      </c>
      <c r="M11" s="17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240</v>
      </c>
      <c r="B1" t="s">
        <v>241</v>
      </c>
    </row>
    <row r="2" spans="1:2" x14ac:dyDescent="0.25">
      <c r="A2" t="s">
        <v>225</v>
      </c>
      <c r="B2">
        <f>COUNTIF(Acompanhamento[Jan],TRUE)</f>
        <v>7</v>
      </c>
    </row>
    <row r="3" spans="1:2" x14ac:dyDescent="0.25">
      <c r="A3" t="s">
        <v>226</v>
      </c>
      <c r="B3">
        <f>COUNTIF(Acompanhamento[Fev],TRUE)</f>
        <v>5</v>
      </c>
    </row>
    <row r="4" spans="1:2" x14ac:dyDescent="0.25">
      <c r="A4" t="s">
        <v>227</v>
      </c>
      <c r="B4">
        <f>COUNTIF(Acompanhamento[Mar],TRUE)</f>
        <v>6</v>
      </c>
    </row>
    <row r="5" spans="1:2" x14ac:dyDescent="0.25">
      <c r="A5" t="s">
        <v>228</v>
      </c>
      <c r="B5">
        <f>COUNTIF(Acompanhamento[Abr],TRUE)</f>
        <v>0</v>
      </c>
    </row>
    <row r="6" spans="1:2" x14ac:dyDescent="0.25">
      <c r="A6" t="s">
        <v>229</v>
      </c>
      <c r="B6">
        <f>COUNTIF(Acompanhamento[Mai],TRUE)</f>
        <v>0</v>
      </c>
    </row>
    <row r="7" spans="1:2" x14ac:dyDescent="0.25">
      <c r="A7" t="s">
        <v>230</v>
      </c>
      <c r="B7">
        <f>COUNTIF(Acompanhamento[Jun],TRUE)</f>
        <v>6</v>
      </c>
    </row>
    <row r="8" spans="1:2" x14ac:dyDescent="0.25">
      <c r="A8" t="s">
        <v>231</v>
      </c>
      <c r="B8">
        <f>COUNTIF(Acompanhamento[Jul],TRUE)</f>
        <v>0</v>
      </c>
    </row>
    <row r="9" spans="1:2" x14ac:dyDescent="0.25">
      <c r="A9" t="s">
        <v>232</v>
      </c>
      <c r="B9">
        <f>COUNTIF(Acompanhamento[Ago],TRUE)</f>
        <v>0</v>
      </c>
    </row>
    <row r="10" spans="1:2" x14ac:dyDescent="0.25">
      <c r="A10" t="s">
        <v>233</v>
      </c>
      <c r="B10">
        <f>COUNTIF(Acompanhamento[Set],TRUE)</f>
        <v>0</v>
      </c>
    </row>
    <row r="11" spans="1:2" x14ac:dyDescent="0.25">
      <c r="A11" t="s">
        <v>234</v>
      </c>
      <c r="B11">
        <f>COUNTIF(Acompanhamento[Out],TRUE)</f>
        <v>0</v>
      </c>
    </row>
    <row r="12" spans="1:2" x14ac:dyDescent="0.25">
      <c r="A12" t="s">
        <v>235</v>
      </c>
      <c r="B12">
        <f>COUNTIF(Acompanhamento[Nov],TRUE)</f>
        <v>0</v>
      </c>
    </row>
    <row r="13" spans="1:2" x14ac:dyDescent="0.25">
      <c r="A13" t="s">
        <v>236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PARENTES"/>
  <dimension ref="A1:E30"/>
  <sheetViews>
    <sheetView topLeftCell="A16" workbookViewId="0">
      <selection activeCell="F11" sqref="F11:BY11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</cols>
  <sheetData>
    <row r="1" spans="1:5" x14ac:dyDescent="0.25">
      <c r="A1" t="s">
        <v>61</v>
      </c>
      <c r="B1" t="s">
        <v>65</v>
      </c>
      <c r="C1" t="s">
        <v>64</v>
      </c>
      <c r="D1" t="s">
        <v>63</v>
      </c>
      <c r="E1" t="s">
        <v>62</v>
      </c>
    </row>
    <row r="2" spans="1:5" x14ac:dyDescent="0.25">
      <c r="A2">
        <v>1</v>
      </c>
      <c r="B2" t="s">
        <v>176</v>
      </c>
      <c r="C2" s="1" t="s">
        <v>33</v>
      </c>
      <c r="D2" s="1">
        <v>38482</v>
      </c>
      <c r="E2" t="s">
        <v>10</v>
      </c>
    </row>
    <row r="3" spans="1:5" x14ac:dyDescent="0.25">
      <c r="A3">
        <v>1</v>
      </c>
      <c r="B3" t="s">
        <v>177</v>
      </c>
      <c r="C3" t="s">
        <v>33</v>
      </c>
      <c r="D3" s="1">
        <v>39682</v>
      </c>
      <c r="E3" t="s">
        <v>9</v>
      </c>
    </row>
    <row r="4" spans="1:5" x14ac:dyDescent="0.25">
      <c r="A4">
        <v>1</v>
      </c>
      <c r="B4" t="s">
        <v>178</v>
      </c>
      <c r="C4" t="s">
        <v>33</v>
      </c>
      <c r="D4" s="1">
        <v>40922</v>
      </c>
      <c r="E4" t="s">
        <v>8</v>
      </c>
    </row>
    <row r="5" spans="1:5" x14ac:dyDescent="0.25">
      <c r="A5">
        <v>4</v>
      </c>
      <c r="B5" t="s">
        <v>183</v>
      </c>
      <c r="C5" t="s">
        <v>33</v>
      </c>
      <c r="D5" s="1">
        <v>36689</v>
      </c>
      <c r="E5" t="s">
        <v>11</v>
      </c>
    </row>
    <row r="6" spans="1:5" x14ac:dyDescent="0.25">
      <c r="A6">
        <v>4</v>
      </c>
      <c r="B6" t="s">
        <v>184</v>
      </c>
      <c r="C6" t="s">
        <v>33</v>
      </c>
      <c r="D6" s="1">
        <v>37871</v>
      </c>
      <c r="E6" t="s">
        <v>10</v>
      </c>
    </row>
    <row r="7" spans="1:5" x14ac:dyDescent="0.25">
      <c r="A7">
        <v>4</v>
      </c>
      <c r="B7" t="s">
        <v>185</v>
      </c>
      <c r="C7" t="s">
        <v>33</v>
      </c>
      <c r="D7" s="1">
        <v>39446</v>
      </c>
      <c r="E7" t="s">
        <v>9</v>
      </c>
    </row>
    <row r="8" spans="1:5" x14ac:dyDescent="0.25">
      <c r="A8">
        <v>4</v>
      </c>
      <c r="B8" t="s">
        <v>186</v>
      </c>
      <c r="C8" t="s">
        <v>33</v>
      </c>
      <c r="D8" s="1">
        <v>40252</v>
      </c>
      <c r="E8" t="s">
        <v>8</v>
      </c>
    </row>
    <row r="9" spans="1:5" x14ac:dyDescent="0.25">
      <c r="A9">
        <v>5</v>
      </c>
      <c r="B9" t="s">
        <v>187</v>
      </c>
      <c r="C9" t="s">
        <v>33</v>
      </c>
      <c r="D9" s="1">
        <v>39489</v>
      </c>
      <c r="E9" t="s">
        <v>8</v>
      </c>
    </row>
    <row r="10" spans="1:5" x14ac:dyDescent="0.25">
      <c r="A10">
        <v>5</v>
      </c>
      <c r="B10" t="s">
        <v>188</v>
      </c>
      <c r="C10" t="s">
        <v>33</v>
      </c>
      <c r="D10" s="1">
        <v>40722</v>
      </c>
      <c r="E10" t="s">
        <v>8</v>
      </c>
    </row>
    <row r="11" spans="1:5" x14ac:dyDescent="0.25">
      <c r="A11">
        <v>6</v>
      </c>
      <c r="B11" t="s">
        <v>189</v>
      </c>
      <c r="C11" t="s">
        <v>33</v>
      </c>
      <c r="D11" s="1">
        <v>31152</v>
      </c>
      <c r="E11" t="s">
        <v>12</v>
      </c>
    </row>
    <row r="12" spans="1:5" x14ac:dyDescent="0.25">
      <c r="A12">
        <v>6</v>
      </c>
      <c r="B12" t="s">
        <v>190</v>
      </c>
      <c r="C12" t="s">
        <v>33</v>
      </c>
      <c r="D12" s="1">
        <v>32347</v>
      </c>
      <c r="E12" t="s">
        <v>14</v>
      </c>
    </row>
    <row r="13" spans="1:5" x14ac:dyDescent="0.25">
      <c r="A13">
        <v>6</v>
      </c>
      <c r="B13" t="s">
        <v>191</v>
      </c>
      <c r="C13" t="s">
        <v>34</v>
      </c>
      <c r="D13" s="1">
        <v>40461</v>
      </c>
      <c r="E13" t="s">
        <v>8</v>
      </c>
    </row>
    <row r="14" spans="1:5" x14ac:dyDescent="0.25">
      <c r="A14">
        <v>7</v>
      </c>
      <c r="B14" t="s">
        <v>192</v>
      </c>
      <c r="C14" t="s">
        <v>39</v>
      </c>
      <c r="D14" s="1">
        <v>36057</v>
      </c>
      <c r="E14" t="s">
        <v>13</v>
      </c>
    </row>
    <row r="15" spans="1:5" x14ac:dyDescent="0.25">
      <c r="A15">
        <v>7</v>
      </c>
      <c r="B15" t="s">
        <v>193</v>
      </c>
      <c r="C15" t="s">
        <v>36</v>
      </c>
      <c r="D15" s="1">
        <v>24911</v>
      </c>
      <c r="E15" t="s">
        <v>8</v>
      </c>
    </row>
    <row r="16" spans="1:5" x14ac:dyDescent="0.25">
      <c r="A16">
        <v>7</v>
      </c>
      <c r="B16" t="s">
        <v>194</v>
      </c>
      <c r="C16" t="s">
        <v>39</v>
      </c>
      <c r="D16" s="1">
        <v>37230</v>
      </c>
      <c r="E16" t="s">
        <v>11</v>
      </c>
    </row>
    <row r="17" spans="1:5" x14ac:dyDescent="0.25">
      <c r="A17">
        <v>7</v>
      </c>
      <c r="B17" t="s">
        <v>195</v>
      </c>
      <c r="C17" t="s">
        <v>41</v>
      </c>
      <c r="D17" s="1">
        <v>43181</v>
      </c>
      <c r="E17" t="s">
        <v>7</v>
      </c>
    </row>
    <row r="18" spans="1:5" x14ac:dyDescent="0.25">
      <c r="A18">
        <v>8</v>
      </c>
      <c r="B18" t="s">
        <v>196</v>
      </c>
      <c r="C18" t="s">
        <v>33</v>
      </c>
      <c r="D18" s="1">
        <v>39546</v>
      </c>
      <c r="E18" t="s">
        <v>9</v>
      </c>
    </row>
    <row r="19" spans="1:5" x14ac:dyDescent="0.25">
      <c r="A19">
        <v>8</v>
      </c>
      <c r="B19" t="s">
        <v>197</v>
      </c>
      <c r="C19" t="s">
        <v>33</v>
      </c>
      <c r="D19" s="1">
        <v>40574</v>
      </c>
      <c r="E19" t="s">
        <v>8</v>
      </c>
    </row>
    <row r="20" spans="1:5" x14ac:dyDescent="0.25">
      <c r="A20">
        <v>8</v>
      </c>
      <c r="B20" t="s">
        <v>198</v>
      </c>
      <c r="C20" t="s">
        <v>36</v>
      </c>
      <c r="D20" s="1">
        <v>20242</v>
      </c>
      <c r="E20" t="s">
        <v>8</v>
      </c>
    </row>
    <row r="21" spans="1:5" x14ac:dyDescent="0.25">
      <c r="A21">
        <v>9</v>
      </c>
      <c r="B21" t="s">
        <v>199</v>
      </c>
      <c r="C21" t="s">
        <v>33</v>
      </c>
      <c r="D21" s="1">
        <v>26613</v>
      </c>
      <c r="E21" t="s">
        <v>11</v>
      </c>
    </row>
    <row r="22" spans="1:5" x14ac:dyDescent="0.25">
      <c r="A22">
        <v>9</v>
      </c>
      <c r="B22" t="s">
        <v>200</v>
      </c>
      <c r="C22" t="s">
        <v>34</v>
      </c>
      <c r="D22" s="1">
        <v>34867</v>
      </c>
      <c r="E22" t="s">
        <v>12</v>
      </c>
    </row>
    <row r="23" spans="1:5" x14ac:dyDescent="0.25">
      <c r="A23">
        <v>9</v>
      </c>
      <c r="B23" t="s">
        <v>201</v>
      </c>
      <c r="C23" t="s">
        <v>34</v>
      </c>
      <c r="D23" s="1">
        <v>36042</v>
      </c>
      <c r="E23" t="s">
        <v>13</v>
      </c>
    </row>
    <row r="24" spans="1:5" x14ac:dyDescent="0.25">
      <c r="A24">
        <v>9</v>
      </c>
      <c r="B24" t="s">
        <v>202</v>
      </c>
      <c r="C24" t="s">
        <v>35</v>
      </c>
      <c r="D24" s="1">
        <v>43144</v>
      </c>
      <c r="E24" t="s">
        <v>7</v>
      </c>
    </row>
    <row r="25" spans="1:5" x14ac:dyDescent="0.25">
      <c r="A25">
        <v>9</v>
      </c>
      <c r="B25" t="s">
        <v>203</v>
      </c>
      <c r="C25" t="s">
        <v>37</v>
      </c>
      <c r="D25" s="1">
        <v>11441</v>
      </c>
      <c r="E25" t="s">
        <v>7</v>
      </c>
    </row>
    <row r="26" spans="1:5" x14ac:dyDescent="0.25">
      <c r="A26">
        <v>2</v>
      </c>
      <c r="B26" t="s">
        <v>179</v>
      </c>
      <c r="C26" s="1" t="s">
        <v>33</v>
      </c>
      <c r="D26" s="1">
        <v>42066</v>
      </c>
      <c r="E26" t="s">
        <v>10</v>
      </c>
    </row>
    <row r="27" spans="1:5" x14ac:dyDescent="0.25">
      <c r="A27">
        <v>3</v>
      </c>
      <c r="B27" t="s">
        <v>179</v>
      </c>
      <c r="C27" s="1" t="s">
        <v>33</v>
      </c>
      <c r="D27" s="1">
        <v>34761</v>
      </c>
      <c r="E27" t="s">
        <v>14</v>
      </c>
    </row>
    <row r="28" spans="1:5" x14ac:dyDescent="0.25">
      <c r="A28">
        <v>3</v>
      </c>
      <c r="B28" t="s">
        <v>180</v>
      </c>
      <c r="C28" s="1" t="s">
        <v>33</v>
      </c>
      <c r="D28" s="1">
        <v>40377</v>
      </c>
      <c r="E28" t="s">
        <v>8</v>
      </c>
    </row>
    <row r="29" spans="1:5" x14ac:dyDescent="0.25">
      <c r="A29">
        <v>3</v>
      </c>
      <c r="B29" t="s">
        <v>181</v>
      </c>
      <c r="C29" s="1" t="s">
        <v>33</v>
      </c>
      <c r="D29" s="1">
        <v>41603</v>
      </c>
      <c r="E29" t="s">
        <v>8</v>
      </c>
    </row>
    <row r="30" spans="1:5" x14ac:dyDescent="0.25">
      <c r="A30">
        <v>3</v>
      </c>
      <c r="B30" t="s">
        <v>182</v>
      </c>
      <c r="C30" s="1" t="s">
        <v>33</v>
      </c>
      <c r="D30" s="1">
        <v>42462</v>
      </c>
      <c r="E30" t="s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33" t="s">
        <v>71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  <c r="BL4" s="33"/>
      <c r="BM4" s="33"/>
      <c r="BN4" s="33"/>
      <c r="BO4" s="33"/>
      <c r="BP4" s="33"/>
      <c r="BQ4" s="33"/>
      <c r="BR4" s="33"/>
      <c r="BS4" s="33"/>
      <c r="BT4" s="33"/>
      <c r="BU4" s="33"/>
      <c r="BV4" s="33"/>
      <c r="BW4" s="33"/>
      <c r="BX4" s="33"/>
      <c r="BY4" s="33"/>
    </row>
    <row r="5" spans="1:77" x14ac:dyDescent="0.25">
      <c r="A5" s="12" t="s">
        <v>67</v>
      </c>
      <c r="B5" s="6"/>
      <c r="C5" s="6"/>
      <c r="D5" s="6"/>
      <c r="E5" s="6"/>
      <c r="F5" s="39" t="s">
        <v>144</v>
      </c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41">
        <f>IFERROR(VLOOKUP(NomeAssistido,CADASTROS[],MATCH("DataNascimentoAssistido",CADASTROS[#Headers],0),0), "------")</f>
        <v>21537</v>
      </c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12" t="s">
        <v>69</v>
      </c>
      <c r="AW6" s="40" t="str">
        <f>IFERROR(VLOOKUP(NomeAssistido, CADASTROS[], MATCH("EstadoCivilAssistido", CADASTROS[#Headers], 0), 0), "------")</f>
        <v>Casado(a)</v>
      </c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  <c r="BW6" s="40"/>
      <c r="BX6" s="40"/>
      <c r="BY6" s="40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39" t="str">
        <f>IFERROR(VLOOKUP(NomeAssistido, CADASTROS[], MATCH("ProfissaoAssistido", CADASTROS[#Headers],0), 0), "------")</f>
        <v>Aposentado</v>
      </c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12" t="s">
        <v>70</v>
      </c>
      <c r="AX7" s="40" t="str">
        <f>IFERROR(VLOOKUP(NomeAssistido, CADASTROS[], MATCH("EscolaridadeAssistido", CADASTROS[#Headers], 0), 0), "------")</f>
        <v>Ensino Fundamental Completo</v>
      </c>
      <c r="AY7" s="40"/>
      <c r="AZ7" s="40"/>
      <c r="BA7" s="40"/>
      <c r="BB7" s="40"/>
      <c r="BC7" s="40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/>
      <c r="BQ7" s="40"/>
      <c r="BR7" s="40"/>
      <c r="BS7" s="40"/>
      <c r="BT7" s="40"/>
      <c r="BU7" s="40"/>
      <c r="BV7" s="40"/>
      <c r="BW7" s="40"/>
      <c r="BX7" s="40"/>
      <c r="BY7" s="40"/>
    </row>
    <row r="8" spans="1:77" x14ac:dyDescent="0.25">
      <c r="A8" s="13" t="s">
        <v>78</v>
      </c>
      <c r="B8" s="6"/>
      <c r="C8" s="6"/>
      <c r="D8" s="6"/>
      <c r="E8" s="37" t="str">
        <f>IFERROR(VLOOKUP(NomeAssistido, CADASTROS[], MATCH("CPFAssistido", CADASTROS[#Headers],0), 0), "------")</f>
        <v>356.166.130-02</v>
      </c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12" t="s">
        <v>79</v>
      </c>
      <c r="AU8" s="38" t="str">
        <f>IFERROR(VLOOKUP(NomeAssistido, CADASTROS[], MATCH("TelefoneAssistido", CADASTROS[#Headers], 0), 0), "------")</f>
        <v>(31) 98567-8901</v>
      </c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33" t="s">
        <v>102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</row>
    <row r="11" spans="1:77" x14ac:dyDescent="0.25">
      <c r="A11" s="12" t="s">
        <v>67</v>
      </c>
      <c r="B11" s="6"/>
      <c r="C11" s="6"/>
      <c r="D11" s="6"/>
      <c r="E11" s="6"/>
      <c r="F11" s="39" t="str">
        <f>IFERROR(VLOOKUP(NomeAssistido, CADASTROS[], MATCH("NomeConjuge", CADASTROS[#Headers], 0), 0), "------")</f>
        <v>Marlene Gomes Silva</v>
      </c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41">
        <f>IFERROR(VLOOKUP(NomeAssistido, CADASTROS[], MATCH("DataNascimentoConjuge", CADASTROS[#Headers], 0), 0), "------")</f>
        <v>22549</v>
      </c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12" t="s">
        <v>69</v>
      </c>
      <c r="AW12" s="39" t="str">
        <f>IFERROR(VLOOKUP(NomeAssistido, CADASTROS[], MATCH("EstadoCivilConjuge", CADASTROS[#Headers], 0), 0), "------")</f>
        <v>Casado(a)</v>
      </c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39" t="str">
        <f>IFERROR(VLOOKUP(NomeAssistido, CADASTROS[], MATCH("ProfissaoConjuge", CADASTROS[#Headers], 0), 0), "------")</f>
        <v>Aposentada</v>
      </c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12" t="s">
        <v>70</v>
      </c>
      <c r="AX13" s="39" t="str">
        <f>IFERROR(VLOOKUP(NomeAssistido, CADASTROS[], MATCH("EscolaridadeConjuge", CADASTROS[#Headers], 0), 0), "------")</f>
        <v>Ensino Fundamental Incompleto</v>
      </c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</row>
    <row r="14" spans="1:77" x14ac:dyDescent="0.25">
      <c r="A14" s="13" t="s">
        <v>78</v>
      </c>
      <c r="B14" s="6"/>
      <c r="C14" s="6"/>
      <c r="D14" s="6"/>
      <c r="E14" s="37" t="str">
        <f>IFERROR(VLOOKUP(NomeAssistido, CADASTROS[], MATCH("CPFConjuge", CADASTROS[#Headers], 0), 0), "------")</f>
        <v>843.589.120-87</v>
      </c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12" t="s">
        <v>79</v>
      </c>
      <c r="AU14" s="38" t="str">
        <f>IFERROR(VLOOKUP(NomeAssistido, CADASTROS[], MATCH("TelefoneConjuge", CADASTROS[#Headers], 0), 0), "------")</f>
        <v>(31) 97890-1234</v>
      </c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33" t="s">
        <v>83</v>
      </c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X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/>
      </c>
      <c r="K18" t="s">
        <v>74</v>
      </c>
      <c r="L18" s="15" t="s">
        <v>76</v>
      </c>
      <c r="P18" s="9" t="s">
        <v>77</v>
      </c>
      <c r="U18" s="22" t="str">
        <f>IFERROR(VLOOKUP(NomeAssistido, CADASTROS[], MATCH("ProgGov", CADASTROS[#Headers], 0), 0), "------")</f>
        <v>BPC</v>
      </c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3"/>
      <c r="AW18" s="23"/>
      <c r="AX18" s="23"/>
      <c r="AY18" s="23"/>
      <c r="AZ18" s="23"/>
      <c r="BA18" s="23"/>
      <c r="BB18" s="23"/>
      <c r="BC18" t="s">
        <v>73</v>
      </c>
      <c r="BD18" s="14" t="str">
        <f>IFERROR(IF(VLOOKUP(NomeAssistido, CADASTROS[], MATCH("RecebeCesta?", CADASTROS[#Headers], 0), 0), "X", ""), "-")</f>
        <v/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X</v>
      </c>
      <c r="BL18" t="s">
        <v>74</v>
      </c>
      <c r="BM18" s="15" t="s">
        <v>76</v>
      </c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</row>
    <row r="19" spans="1:77" ht="9.75" customHeight="1" x14ac:dyDescent="0.25"/>
    <row r="20" spans="1:77" x14ac:dyDescent="0.25">
      <c r="A20" s="15" t="s">
        <v>81</v>
      </c>
      <c r="M20" s="32" t="str">
        <f>IFERROR(VLOOKUP(NomeAssistido, CADASTROS[], MATCH("TipoMoradia", CADASTROS[#Headers], 0), 0), "------")</f>
        <v>Própria</v>
      </c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Q20" s="15" t="s">
        <v>82</v>
      </c>
      <c r="BP20" s="32">
        <f>IFERROR(VLOOKUP(NomeAssistido, CADASTROS[], MATCH("NPessoas", CADASTROS[#Headers], 0), 0), "------")</f>
        <v>3</v>
      </c>
      <c r="BQ20" s="32"/>
      <c r="BR20" s="32"/>
      <c r="BS20" s="32"/>
      <c r="BT20" s="32"/>
      <c r="BU20" s="32"/>
      <c r="BV20" s="32"/>
      <c r="BW20" s="32"/>
      <c r="BX20" s="32"/>
      <c r="BY20" s="32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6" t="str" cm="1">
        <f t="array" ref="F22">IFERROR(PROCINDICE(PARENTES[#All], keyParentes, "NomeParente", 1), "------")</f>
        <v>Rogério Gomes Silva</v>
      </c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5" t="str" cm="1">
        <f t="array" ref="BK22">IFERROR(PROCINDICE(PARENTES[#All], keyParentes, "DataNascimentoParente", 1), "------")</f>
        <v>15/04/1985</v>
      </c>
      <c r="BL22" s="35"/>
      <c r="BM22" s="35"/>
      <c r="BN22" s="35"/>
      <c r="BO22" s="35"/>
      <c r="BP22" s="35"/>
      <c r="BQ22" s="35"/>
      <c r="BR22" s="35"/>
      <c r="BS22" s="35"/>
      <c r="BT22" s="35"/>
      <c r="BU22" s="35"/>
      <c r="BV22" s="35"/>
      <c r="BW22" s="35"/>
      <c r="BX22" s="35"/>
      <c r="BY22" s="35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4" t="str" cm="1">
        <f t="array" ref="K23">IFERROR(PROCINDICE(PARENTES[#All], keyParentes, "EscolaridadeParente", 1), "------")</f>
        <v>Curso Técnico</v>
      </c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6" t="str" cm="1">
        <f t="array" ref="BE23">IFERROR(PROCINDICE(PARENTES[#All], keyParentes, "GrauParentescoParente", 1), "------")</f>
        <v>Filho(a)</v>
      </c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6" t="str" cm="1">
        <f t="array" ref="F25">IFERROR(PROCINDICE(PARENTES[#All], keyParentes, "NomeParente", 2), "------")</f>
        <v>Patrícia Gomes Silva</v>
      </c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5" t="str" cm="1">
        <f t="array" ref="BK25">IFERROR(PROCINDICE(PARENTES[#All], keyParentes, "DataNascimentoParente", 2), "------")</f>
        <v>23/07/1988</v>
      </c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4" t="str" cm="1">
        <f t="array" ref="K26">IFERROR(PROCINDICE(PARENTES[#All], keyParentes, "EscolaridadeParente", 2), "------")</f>
        <v>Ensino Superior Completo</v>
      </c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6" t="str" cm="1">
        <f t="array" ref="BE26">IFERROR(PROCINDICE(PARENTES[#All], keyParentes, "GrauParentescoParente", 2), "------")</f>
        <v>Filho(a)</v>
      </c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6" t="str" cm="1">
        <f t="array" ref="F28">IFERROR(PROCINDICE(PARENTES[#All], keyParentes, "NomeParente", 3), "------")</f>
        <v>Henrique Gomes Silva</v>
      </c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5" t="str" cm="1">
        <f t="array" ref="BK28">IFERROR(PROCINDICE(PARENTES[#All], keyParentes, "DataNascimentoParente", 3), "------")</f>
        <v>10/10/2010</v>
      </c>
      <c r="BL28" s="35"/>
      <c r="BM28" s="35"/>
      <c r="BN28" s="35"/>
      <c r="BO28" s="35"/>
      <c r="BP28" s="35"/>
      <c r="BQ28" s="35"/>
      <c r="BR28" s="35"/>
      <c r="BS28" s="35"/>
      <c r="BT28" s="35"/>
      <c r="BU28" s="35"/>
      <c r="BV28" s="35"/>
      <c r="BW28" s="35"/>
      <c r="BX28" s="35"/>
      <c r="BY28" s="35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4" t="str" cm="1">
        <f t="array" ref="K29">IFERROR(PROCINDICE(PARENTES[#All], keyParentes, "EscolaridadeParente", 3), "------")</f>
        <v>Ensino Fundamental Incompleto</v>
      </c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6" t="str" cm="1">
        <f t="array" ref="BE29">IFERROR(PROCINDICE(PARENTES[#All], keyParentes, "GrauParentescoParente", 3), "------")</f>
        <v>Neto(a)</v>
      </c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6" t="str" cm="1">
        <f t="array" ref="F31">IFERROR(PROCINDICE(PARENTES[#All], keyParentes, "NomeParente", 4), "------")</f>
        <v>------</v>
      </c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5" t="str" cm="1">
        <f t="array" ref="BK31">IFERROR(PROCINDICE(PARENTES[#All], keyParentes, "DataNascimentoParente", 4), "------")</f>
        <v>------</v>
      </c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4" t="str" cm="1">
        <f t="array" ref="K32">IFERROR(PROCINDICE(PARENTES[#All], keyParentes, "EscolaridadeParente", 4), "------")</f>
        <v>------</v>
      </c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6" t="str" cm="1">
        <f t="array" ref="BE32">IFERROR(PROCINDICE(PARENTES[#All], keyParentes, "GrauParentescoParente", 4), "------")</f>
        <v>------</v>
      </c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6" t="str" cm="1">
        <f t="array" ref="F34">IFERROR(PROCINDICE(PARENTES[#All], keyParentes, "NomeParente", 5), "------")</f>
        <v>------</v>
      </c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5" t="str" cm="1">
        <f t="array" ref="BK34">IFERROR(PROCINDICE(PARENTES[#All], keyParentes, "DataNascimentoParente", 5), "------")</f>
        <v>------</v>
      </c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4" t="str" cm="1">
        <f t="array" ref="K35">IFERROR(PROCINDICE(PARENTES[#All], keyParentes, "EscolaridadeParente", 5), "------")</f>
        <v>------</v>
      </c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6" t="str" cm="1">
        <f t="array" ref="BE35">IFERROR(PROCINDICE(PARENTES[#All], keyParentes, "GrauParentescoParente", 5), "------")</f>
        <v>------</v>
      </c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6" t="str" cm="1">
        <f t="array" ref="F37">IFERROR(PROCINDICE(PARENTES[#All], keyParentes, "NomeParente", 6), "------")</f>
        <v>------</v>
      </c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5" t="str" cm="1">
        <f t="array" ref="BK37">IFERROR(PROCINDICE(PARENTES[#All], keyParentes, "DataNascimentoParente", 6), "------")</f>
        <v>------</v>
      </c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4" t="str" cm="1">
        <f t="array" ref="K38">IFERROR(PROCINDICE(PARENTES[#All], keyParentes, "EscolaridadeParente", 6), "------")</f>
        <v>------</v>
      </c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6" t="str" cm="1">
        <f t="array" ref="BE38">IFERROR(PROCINDICE(PARENTES[#All], keyParentes, "GrauParentescoParente", 6), "------")</f>
        <v>------</v>
      </c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6" t="str" cm="1">
        <f t="array" ref="F40">IFERROR(PROCINDICE(PARENTES[#All], keyParentes, "NomeParente", 7), "------")</f>
        <v>------</v>
      </c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5" t="str" cm="1">
        <f t="array" ref="BK40">IFERROR(PROCINDICE(PARENTES[#All], keyParentes, "DataNascimentoParente", 7), "------")</f>
        <v>------</v>
      </c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4" t="str" cm="1">
        <f t="array" ref="K41">IFERROR(PROCINDICE(PARENTES[#All], keyParentes, "EscolaridadeParente", 7), "------")</f>
        <v>------</v>
      </c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6" t="str" cm="1">
        <f t="array" ref="BE41">IFERROR(PROCINDICE(PARENTES[#All], keyParentes, "GrauParentescoParente", 7), "------")</f>
        <v>------</v>
      </c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12"/>
      <c r="AW42" s="6"/>
      <c r="AX42" s="6"/>
      <c r="AY42" s="6"/>
      <c r="AZ42" s="6"/>
      <c r="BA42" s="6"/>
      <c r="BB42" s="6"/>
      <c r="BC42" s="6"/>
      <c r="BD42" s="6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</row>
    <row r="43" spans="1:77" x14ac:dyDescent="0.25">
      <c r="A43" s="12" t="s">
        <v>242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Rua Palmeiras, 321, Jardim Industrial, Contagem</v>
      </c>
      <c r="J43" s="4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5"/>
      <c r="AW43" s="4"/>
      <c r="AX43" s="4"/>
      <c r="AY43" s="4"/>
      <c r="AZ43" s="4"/>
      <c r="BA43" s="4"/>
      <c r="BB43" s="4"/>
      <c r="BC43" s="4"/>
      <c r="BD43" s="4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</row>
    <row r="44" spans="1:77" s="10" customFormat="1" ht="18.75" customHeight="1" x14ac:dyDescent="0.25"/>
    <row r="45" spans="1:77" ht="15" customHeight="1" x14ac:dyDescent="0.25">
      <c r="A45" s="43" t="s">
        <v>85</v>
      </c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42" t="s">
        <v>89</v>
      </c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</row>
    <row r="53" spans="1:77" ht="9.75" customHeight="1" x14ac:dyDescent="0.25"/>
    <row r="54" spans="1:77" x14ac:dyDescent="0.25">
      <c r="A54" t="s">
        <v>93</v>
      </c>
      <c r="J54" s="41">
        <f>IFERROR(VLOOKUP(NomeAssistido, CADASTROS[], MATCH("DataSindicancia", CADASTROS[#Headers], 0), 0), "------")</f>
        <v>45672</v>
      </c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F54" t="s">
        <v>94</v>
      </c>
      <c r="AM54" s="32" t="str">
        <f>IFERROR(VLOOKUP(NomeAssistido, CADASTROS[], MATCH("NomeVisitador", CADASTROS[#Headers], 0), 0), "------")</f>
        <v>Ana Paula Oliveira</v>
      </c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</row>
  </sheetData>
  <mergeCells count="51"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M20:AO20"/>
    <mergeCell ref="BP20:BY20"/>
    <mergeCell ref="A16:BY16"/>
    <mergeCell ref="K23:AU23"/>
    <mergeCell ref="BK22:BY22"/>
    <mergeCell ref="BE23:BY23"/>
    <mergeCell ref="F22:AU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sqref="A1:A14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sqref="A1:A13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9</vt:i4>
      </vt:variant>
    </vt:vector>
  </HeadingPairs>
  <TitlesOfParts>
    <vt:vector size="22" baseType="lpstr">
      <vt:lpstr>MENU</vt:lpstr>
      <vt:lpstr>CADASTROS</vt:lpstr>
      <vt:lpstr>ACOMPANHAMENTO</vt:lpstr>
      <vt:lpstr>TABELAS_AUXILIARES</vt:lpstr>
      <vt:lpstr>PARENTES</vt:lpstr>
      <vt:lpstr>DADOS_DE_TESTE</vt:lpstr>
      <vt:lpstr>FICHA_CADASTRAL</vt:lpstr>
      <vt:lpstr>GRAUS_PARENTESCO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2026-06-16T00:22:33Z</dcterms:modified>
</cp:coreProperties>
</file>