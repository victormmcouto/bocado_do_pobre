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Projeto de Extensão/"/>
    </mc:Choice>
  </mc:AlternateContent>
  <xr:revisionPtr revIDLastSave="605" documentId="8_{356254BA-3F3B-483C-B00F-911E55224503}" xr6:coauthVersionLast="47" xr6:coauthVersionMax="47" xr10:uidLastSave="{95A6F3EE-C684-41FF-A464-68ED0A1BD1B6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r:id="rId2"/>
    <sheet name="PARENTES" sheetId="5" r:id="rId3"/>
    <sheet name="FICHA_CADASTRAL" sheetId="11" r:id="rId4"/>
    <sheet name="GRAUS_PARENTESCO" sheetId="9" r:id="rId5"/>
    <sheet name="TIPO_MORADIA" sheetId="8" r:id="rId6"/>
    <sheet name="ESTADOS_CIVIS" sheetId="3" r:id="rId7"/>
    <sheet name="ESCOLARIDADES" sheetId="4" r:id="rId8"/>
    <sheet name="PROFISSOES" sheetId="6" r:id="rId9"/>
    <sheet name="PROGRAMAS_GOV" sheetId="7" r:id="rId10"/>
  </sheets>
  <functionGroups builtInGroupCount="19"/>
  <definedNames>
    <definedName name="_xleta.IF" hidden="1" xlm="1">#NAME?</definedName>
    <definedName name="CamposParentesDocumento">FICHA_CADASTRAL!$A$24:$BY$25</definedName>
    <definedName name="Espaco1">FICHA_CADASTRAL!$A$24</definedName>
    <definedName name="Espaco2">FICHA_CADASTRAL!$A$27</definedName>
    <definedName name="Espaco3">FICHA_CADASTRAL!$A$30</definedName>
    <definedName name="Espaco4">FICHA_CADASTRAL!$A$33</definedName>
    <definedName name="Espaco5">FICHA_CADASTRAL!$A$36</definedName>
    <definedName name="Espaco6">FICHA_CADASTRAL!$A$39</definedName>
    <definedName name="Espaco7">FICHA_CADASTRAL!$A$42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4" i="11" l="1"/>
  <c r="J54" i="11"/>
  <c r="BP22" i="11"/>
  <c r="M22" i="11"/>
  <c r="F18" i="11"/>
  <c r="AC20" i="11"/>
  <c r="AJ20" i="11" s="1"/>
  <c r="AL17" i="11"/>
  <c r="AS17" i="11" s="1"/>
  <c r="AU14" i="11"/>
  <c r="AX13" i="11"/>
  <c r="E14" i="11"/>
  <c r="I13" i="11"/>
  <c r="AW12" i="11"/>
  <c r="P12" i="11"/>
  <c r="F11" i="11"/>
  <c r="AU8" i="11"/>
  <c r="E8" i="11"/>
  <c r="AX7" i="11"/>
  <c r="I7" i="11"/>
  <c r="AW6" i="11"/>
  <c r="P6" i="11"/>
  <c r="K43" i="11" a="1"/>
  <c r="BE43" i="11" a="1"/>
  <c r="BK42" i="11" a="1"/>
  <c r="F42" i="11" a="1"/>
  <c r="BE40" i="11" a="1"/>
  <c r="BK39" i="11" a="1"/>
  <c r="K40" i="11" a="1"/>
  <c r="F39" i="11" a="1"/>
  <c r="K37" i="11" a="1"/>
  <c r="BE37" i="11" a="1"/>
  <c r="BK36" i="11" a="1"/>
  <c r="F36" i="11" a="1"/>
  <c r="BE34" i="11" a="1"/>
  <c r="BK33" i="11" a="1"/>
  <c r="K34" i="11" a="1"/>
  <c r="F33" i="11" a="1"/>
  <c r="BE31" i="11" a="1"/>
  <c r="K31" i="11" a="1"/>
  <c r="BK30" i="11" a="1"/>
  <c r="F30" i="11" a="1"/>
  <c r="BE28" i="11" a="1"/>
  <c r="BK27" i="11" a="1"/>
  <c r="K28" i="11" a="1"/>
  <c r="F27" i="11" a="1"/>
  <c r="BE25" i="11" a="1"/>
  <c r="K25" i="11" a="1"/>
  <c r="BK24" i="11" a="1"/>
  <c r="F24" i="11" a="1"/>
  <c r="K43" i="11" l="1"/>
  <c r="BE43" i="11"/>
  <c r="BK42" i="11"/>
  <c r="F42" i="11"/>
  <c r="BE40" i="11"/>
  <c r="BK39" i="11"/>
  <c r="K40" i="11"/>
  <c r="F39" i="11"/>
  <c r="K37" i="11"/>
  <c r="BE37" i="11"/>
  <c r="BK36" i="11"/>
  <c r="F36" i="11"/>
  <c r="BE34" i="11"/>
  <c r="BK33" i="11"/>
  <c r="K34" i="11"/>
  <c r="F33" i="11"/>
  <c r="BE31" i="11"/>
  <c r="K31" i="11"/>
  <c r="BK30" i="11"/>
  <c r="F30" i="11"/>
  <c r="BE28" i="11"/>
  <c r="BK27" i="11"/>
  <c r="K28" i="11"/>
  <c r="F27" i="11"/>
  <c r="BE25" i="11"/>
  <c r="K25" i="11"/>
  <c r="BK24" i="11"/>
  <c r="F2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<sst xmlns="http://schemas.openxmlformats.org/spreadsheetml/2006/main" count="151" uniqueCount="108">
  <si>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</si>
  <si>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</si>
  <si>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</si>
  <si>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</si>
  <si>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</si>
  <si>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</si>
  <si>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</si>
  <si>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</si>
  <si>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</si>
  <si>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</si>
  <si>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</si>
  <si>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</si>
  <si>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</si>
  <si>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</si>
  <si>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</si>
  <si>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</si>
  <si>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</si>
  <si>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</si>
  <si>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</si>
  <si>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</si>
  <si>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</si>
  <si>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</si>
  <si>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MCMV</t>
  </si>
  <si>
    <t>INSS</t>
  </si>
  <si>
    <t>TESTE1</t>
  </si>
  <si>
    <t>TESTE2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</si>
  <si>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</si>
  <si>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</si>
  <si>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</si>
  <si>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</si>
  <si>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</si>
  <si>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</si>
  <si>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</si>
  <si>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</si>
  <si>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</si>
  <si>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</si>
  <si>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</si>
  <si>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</si>
  <si>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</si>
  <si>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</si>
  <si>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</si>
  <si>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</si>
  <si>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</si>
  <si>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</si>
  <si>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</si>
  <si>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</si>
  <si>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</si>
  <si>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</si>
  <si>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</si>
  <si>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</si>
  <si>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</si>
  <si>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</si>
  <si>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</si>
  <si>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</si>
  <si>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NomeConjugue</t>
  </si>
  <si>
    <t>DataNascimentoConjugue</t>
  </si>
  <si>
    <t>EstadoCivilConjugue</t>
  </si>
  <si>
    <t>ProfissaoConjugue</t>
  </si>
  <si>
    <t>EscolaridadeConjugue</t>
  </si>
  <si>
    <t>CPFConjugue</t>
  </si>
  <si>
    <t>TelefoneConjugue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</si>
  <si>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</si>
  <si>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</si>
  <si>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</si>
  <si>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</si>
  <si>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</si>
  <si>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</si>
  <si>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</si>
  <si>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</si>
  <si>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</si>
  <si>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</si>
  <si>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</si>
  <si>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</si>
  <si>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</si>
  <si>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</si>
  <si>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</si>
  <si>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</si>
  <si>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</si>
  <si>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</si>
  <si>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</si>
  <si>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</si>
  <si>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</si>
  <si>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</si>
  <si>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>CÔNJUGUE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</si>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</sst>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Z2" totalsRowShown="0">
  <autoFilter ref="A1:Z2" xr:uid="{0FD0A3F6-7A0C-49AF-9E20-5A523DEBD191}"/>
  <tableColumns count="26">
    <tableColumn id="1" xr3:uid="{7C73FD22-45FF-460E-BC58-669273AAB06B}" name="NomeAssistido"/>
    <tableColumn id="2" xr3:uid="{95CF41B7-C3A0-4192-B1F6-46CD87A4788C}" name="DataNascimentoAssistido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ue"/>
    <tableColumn id="9" xr3:uid="{A37596B1-FD24-474A-9DBF-616B22757ADF}" name="DataNascimentoConjugue"/>
    <tableColumn id="10" xr3:uid="{D885C048-5670-48B6-ABE3-D6A34E9F05B3}" name="EstadoCivilConjugue"/>
    <tableColumn id="11" xr3:uid="{89748D31-1E97-47DC-B648-869111C6DC07}" name="ProfissaoConjugue"/>
    <tableColumn id="12" xr3:uid="{39236158-5455-4071-B1CA-D589ACC25287}" name="EscolaridadeConjugue"/>
    <tableColumn id="13" xr3:uid="{F22D0048-9AED-4B78-8171-161AC465D858}" name="CPFConjugue"/>
    <tableColumn id="14" xr3:uid="{D7A2ADBE-6333-44F9-82A8-12B120C2FC34}" name="TelefoneConjugu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2" totalsRowShown="0">
  <autoFilter ref="A1:E2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/>
    <tableColumn id="4" xr3:uid="{1EDC8AA1-1D79-4404-90CB-53282C95E288}" name="DataNascimentoParente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1" totalsRowShown="0">
  <autoFilter ref="A1:A11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5" totalsRowShown="0">
  <autoFilter ref="A1:A5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"/>
  <sheetViews>
    <sheetView tabSelected="1" workbookViewId="0">
      <selection activeCell="D13" sqref="D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Z2"/>
  <sheetViews>
    <sheetView workbookViewId="0">
      <selection activeCell="E7" sqref="E7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21" max="21" width="12.140625" bestFit="1" customWidth="1"/>
  </cols>
  <sheetData>
    <row r="1" spans="1:26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72</v>
      </c>
      <c r="Z1" t="s">
        <v>71</v>
      </c>
    </row>
    <row r="2" spans="1:26" x14ac:dyDescent="0.25">
      <c r="B2" s="1"/>
      <c r="I2" s="1"/>
      <c r="S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1"/>
  <sheetViews>
    <sheetView workbookViewId="0">
      <selection activeCell="E9" sqref="E9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25.85546875" bestFit="1" customWidth="1"/>
  </cols>
  <sheetData>
    <row r="1" spans="1:5" x14ac:dyDescent="0.25">
      <c r="A1" t="s">
        <v>72</v>
      </c>
      <c r="B1" t="s">
        <v>76</v>
      </c>
      <c r="C1" t="s">
        <v>75</v>
      </c>
      <c r="D1" t="s">
        <v>74</v>
      </c>
      <c r="E1" t="s">
        <v>73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9" zoomScaleNormal="100" workbookViewId="0">
      <selection activeCell="F5" sqref="F5:BY5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23" t="s">
        <v>82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</row>
    <row r="5" spans="1:77" x14ac:dyDescent="0.25">
      <c r="A5" s="12" t="s">
        <v>78</v>
      </c>
      <c r="B5" s="6"/>
      <c r="C5" s="6"/>
      <c r="D5" s="6"/>
      <c r="E5" s="6"/>
      <c r="F5" s="24" t="s">
        <v>107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</row>
    <row r="6" spans="1:77" x14ac:dyDescent="0.25">
      <c r="A6" s="12" t="s">
        <v>79</v>
      </c>
      <c r="B6" s="5"/>
      <c r="C6" s="6"/>
      <c r="D6" s="6"/>
      <c r="E6" s="6"/>
      <c r="F6" s="5"/>
      <c r="G6" s="6"/>
      <c r="H6" s="6"/>
      <c r="I6" s="6"/>
      <c r="J6" s="6"/>
      <c r="K6" s="5"/>
      <c r="P6" s="26" t="str">
        <f>IFERROR(VLOOKUP(NomeAssistido,CADASTROS[],MATCH("DataNascimentoAssistido",CADASTROS[#Headers],0),0), "------")</f>
        <v>------</v>
      </c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12" t="s">
        <v>80</v>
      </c>
      <c r="AW6" s="25" t="str">
        <f>IFERROR(VLOOKUP(NomeAssistido, CADASTROS[], MATCH("EstadoCivilAssistido", CADASTROS[#Headers], 0), 0), "------")</f>
        <v>------</v>
      </c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</row>
    <row r="7" spans="1:77" x14ac:dyDescent="0.25">
      <c r="A7" s="12" t="s">
        <v>77</v>
      </c>
      <c r="B7" s="6"/>
      <c r="C7" s="6"/>
      <c r="D7" s="6"/>
      <c r="E7" s="6"/>
      <c r="G7" s="6"/>
      <c r="H7" s="6"/>
      <c r="I7" s="24" t="str">
        <f>IFERROR(VLOOKUP(NomeAssistido, CADASTROS[], MATCH("ProfissaoAssistido", CADASTROS[#Headers],0), 0), "------")</f>
        <v>------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12" t="s">
        <v>81</v>
      </c>
      <c r="AX7" s="25" t="str">
        <f>IFERROR(VLOOKUP(NomeAssistido, CADASTROS[], MATCH("EscolaridadeAssistido", CADASTROS[#Headers], 0), 0), "------")</f>
        <v>------</v>
      </c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</row>
    <row r="8" spans="1:77" x14ac:dyDescent="0.25">
      <c r="A8" s="13" t="s">
        <v>90</v>
      </c>
      <c r="B8" s="6"/>
      <c r="C8" s="6"/>
      <c r="D8" s="6"/>
      <c r="E8" s="21" t="str">
        <f>IFERROR(VLOOKUP(NomeAssistido, CADASTROS[], MATCH("CPFAssistido", CADASTROS[#Headers],0), 0), "------")</f>
        <v>------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12" t="s">
        <v>91</v>
      </c>
      <c r="AU8" s="22" t="str">
        <f>IFERROR(VLOOKUP(NomeAssistido, CADASTROS[], MATCH("TelefoneAssistido", CADASTROS[#Headers], 0), 0), "------")</f>
        <v>------</v>
      </c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23" t="s">
        <v>83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</row>
    <row r="11" spans="1:77" x14ac:dyDescent="0.25">
      <c r="A11" s="12" t="s">
        <v>78</v>
      </c>
      <c r="B11" s="6"/>
      <c r="C11" s="6"/>
      <c r="D11" s="6"/>
      <c r="E11" s="6"/>
      <c r="F11" s="24" t="str">
        <f>IFERROR(VLOOKUP(NomeAssistido, CADASTROS[], MATCH("NomeConjugue", CADASTROS[#Headers], 0), 0), "------")</f>
        <v>------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</row>
    <row r="12" spans="1:77" x14ac:dyDescent="0.25">
      <c r="A12" s="12" t="s">
        <v>79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26" t="str">
        <f>IFERROR(VLOOKUP(NomeAssistido, CADASTROS[], MATCH("DataNascimentoConjugue", CADASTROS[#Headers], 0), 0), "------")</f>
        <v>------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12" t="s">
        <v>80</v>
      </c>
      <c r="AW12" s="24" t="str">
        <f>IFERROR(VLOOKUP(NomeAssistido, CADASTROS[], MATCH("EstadoCivilConjugue", CADASTROS[#Headers], 0), 0), "------")</f>
        <v>------</v>
      </c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</row>
    <row r="13" spans="1:77" x14ac:dyDescent="0.25">
      <c r="A13" s="12" t="s">
        <v>77</v>
      </c>
      <c r="B13" s="6"/>
      <c r="C13" s="6"/>
      <c r="D13" s="6"/>
      <c r="E13" s="6"/>
      <c r="G13" s="6"/>
      <c r="H13" s="6"/>
      <c r="I13" s="24" t="str">
        <f>IFERROR(VLOOKUP(NomeAssistido, CADASTROS[], MATCH("ProfissaoConjugue", CADASTROS[#Headers], 0), 0), "------")</f>
        <v>------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12" t="s">
        <v>81</v>
      </c>
      <c r="AX13" s="24" t="str">
        <f>IFERROR(VLOOKUP(NomeAssistido, CADASTROS[], MATCH("EscolaridadeConjugue", CADASTROS[#Headers], 0), 0), "------")</f>
        <v>------</v>
      </c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</row>
    <row r="14" spans="1:77" x14ac:dyDescent="0.25">
      <c r="A14" s="13" t="s">
        <v>90</v>
      </c>
      <c r="B14" s="6"/>
      <c r="C14" s="6"/>
      <c r="D14" s="6"/>
      <c r="E14" s="21" t="str">
        <f>IFERROR(VLOOKUP(NomeAssistido, CADASTROS[], MATCH("CPFConjugue", CADASTROS[#Headers], 0), 0), "------")</f>
        <v>------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12" t="s">
        <v>91</v>
      </c>
      <c r="AU14" s="22" t="str">
        <f>IFERROR(VLOOKUP(NomeAssistido, CADASTROS[], MATCH("TelefoneConjugue", CADASTROS[#Headers], 0), 0), "------")</f>
        <v>------</v>
      </c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23" t="s">
        <v>95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</row>
    <row r="17" spans="1:77" x14ac:dyDescent="0.25">
      <c r="A17" s="9" t="s">
        <v>84</v>
      </c>
      <c r="B17" s="2"/>
      <c r="C17" s="2"/>
      <c r="D17" s="2"/>
      <c r="E17" s="2"/>
      <c r="F17" s="2"/>
      <c r="G17" s="2"/>
      <c r="H17" s="2"/>
      <c r="I17" s="2"/>
      <c r="J17" s="2"/>
      <c r="AK17" t="s">
        <v>85</v>
      </c>
      <c r="AL17" s="14" t="str">
        <f>IFERROR(IF(VLOOKUP(NomeAssistido, CADASTROS[], MATCH("ParticipaProgGov?", CADASTROS[#Headers], 0), 0), "X", ""), "-")</f>
        <v>-</v>
      </c>
      <c r="AM17" t="s">
        <v>86</v>
      </c>
      <c r="AN17" s="15" t="s">
        <v>87</v>
      </c>
      <c r="AR17" t="s">
        <v>85</v>
      </c>
      <c r="AS17" s="14" t="str">
        <f>IF($AL$17 = "X", "", IF($AL$17 ="-", "-", "X"))</f>
        <v>-</v>
      </c>
      <c r="AT17" t="s">
        <v>86</v>
      </c>
      <c r="AU17" s="15" t="s">
        <v>88</v>
      </c>
    </row>
    <row r="18" spans="1:77" x14ac:dyDescent="0.25">
      <c r="A18" s="9" t="s">
        <v>89</v>
      </c>
      <c r="F18" s="19" t="str">
        <f>IFERROR(VLOOKUP(NomeAssistido, CADASTROS[], MATCH("ProgGov", CADASTROS[#Headers], 0), 0), "------")</f>
        <v>------</v>
      </c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</row>
    <row r="19" spans="1:77" ht="9.75" customHeight="1" x14ac:dyDescent="0.25"/>
    <row r="20" spans="1:77" x14ac:dyDescent="0.25">
      <c r="A20" s="15" t="s">
        <v>92</v>
      </c>
      <c r="AB20" t="s">
        <v>85</v>
      </c>
      <c r="AC20" s="14" t="str">
        <f>IFERROR(IF(VLOOKUP(NomeAssistido, CADASTROS[], MATCH("RecebeCesta?", CADASTROS[#Headers], 0), 0), "X", ""), "-")</f>
        <v>-</v>
      </c>
      <c r="AD20" t="s">
        <v>86</v>
      </c>
      <c r="AE20" s="15" t="s">
        <v>87</v>
      </c>
      <c r="AI20" t="s">
        <v>85</v>
      </c>
      <c r="AJ20" s="14" t="str">
        <f>IF($AC$20 = "X", "", IF($AC$20= "-", "-", "X"))</f>
        <v>-</v>
      </c>
      <c r="AK20" t="s">
        <v>86</v>
      </c>
      <c r="AL20" s="15" t="s">
        <v>88</v>
      </c>
    </row>
    <row r="21" spans="1:77" ht="8.25" customHeight="1" x14ac:dyDescent="0.25"/>
    <row r="22" spans="1:77" x14ac:dyDescent="0.25">
      <c r="A22" s="15" t="s">
        <v>93</v>
      </c>
      <c r="M22" s="16" t="str">
        <f>IFERROR(VLOOKUP(NomeAssistido, CADASTROS[], MATCH("TipoMoradia", CADASTROS[#Headers], 0), 0), "------")</f>
        <v>------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Q22" s="15" t="s">
        <v>94</v>
      </c>
      <c r="BP22" s="16" t="str">
        <f>IFERROR(VLOOKUP(NomeAssistido, CADASTROS[], MATCH("NPessoas", CADASTROS[#Headers], 0), 0), "------")</f>
        <v>------</v>
      </c>
      <c r="BQ22" s="16"/>
      <c r="BR22" s="16"/>
      <c r="BS22" s="16"/>
      <c r="BT22" s="16"/>
      <c r="BU22" s="16"/>
      <c r="BV22" s="16"/>
      <c r="BW22" s="16"/>
      <c r="BX22" s="16"/>
      <c r="BY22" s="16"/>
    </row>
    <row r="24" spans="1:77" x14ac:dyDescent="0.25">
      <c r="A24" s="12" t="s">
        <v>78</v>
      </c>
      <c r="B24" s="6"/>
      <c r="C24" s="6"/>
      <c r="D24" s="6"/>
      <c r="E24" s="6"/>
      <c r="F24" s="19" t="str" cm="1">
        <f t="array" ref="F24">IFERROR(PROCINDICE(PARENTES[#All], keyParentes, "NomeParente", 1), "------")</f>
        <v>------</v>
      </c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2" t="s">
        <v>79</v>
      </c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17" t="str" cm="1">
        <f t="array" ref="BK24">IFERROR(PROCINDICE(PARENTES[#All], keyParentes, "DataNascimentoParente", 1), "------")</f>
        <v>------</v>
      </c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</row>
    <row r="25" spans="1:77" x14ac:dyDescent="0.25">
      <c r="A25" s="12" t="s">
        <v>81</v>
      </c>
      <c r="B25" s="5"/>
      <c r="C25" s="6"/>
      <c r="D25" s="6"/>
      <c r="E25" s="6"/>
      <c r="F25" s="5"/>
      <c r="G25" s="6"/>
      <c r="H25" s="6"/>
      <c r="I25" s="6"/>
      <c r="J25" s="6"/>
      <c r="K25" s="18" t="str" cm="1">
        <f t="array" ref="K25">IFERROR(PROCINDICE(PARENTES[#All], keyParentes, "EscolaridadeParente", 1), "------")</f>
        <v>------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2" t="s">
        <v>96</v>
      </c>
      <c r="AW25" s="6"/>
      <c r="AX25" s="6"/>
      <c r="AY25" s="6"/>
      <c r="AZ25" s="6"/>
      <c r="BA25" s="6"/>
      <c r="BB25" s="6"/>
      <c r="BC25" s="6"/>
      <c r="BD25" s="6"/>
      <c r="BE25" s="19" t="str" cm="1">
        <f t="array" ref="BE25">IFERROR(PROCINDICE(PARENTES[#All], keyParentes, "GrauParentescoParente", 1), "------")</f>
        <v>------</v>
      </c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</row>
    <row r="26" spans="1:77" s="10" customFormat="1" ht="5.85" customHeight="1" x14ac:dyDescent="0.25"/>
    <row r="27" spans="1:77" x14ac:dyDescent="0.25">
      <c r="A27" s="12" t="s">
        <v>78</v>
      </c>
      <c r="B27" s="6"/>
      <c r="C27" s="6"/>
      <c r="D27" s="6"/>
      <c r="E27" s="6"/>
      <c r="F27" s="19" t="str" cm="1">
        <f t="array" ref="F27">IFERROR(PROCINDICE(PARENTES[#All], keyParentes, "NomeParente", 2), "------")</f>
        <v>------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2" t="s">
        <v>79</v>
      </c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17" t="str" cm="1">
        <f t="array" ref="BK27">IFERROR(PROCINDICE(PARENTES[#All], keyParentes, "DataNascimentoParente", 2), "------")</f>
        <v>------</v>
      </c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</row>
    <row r="28" spans="1:77" x14ac:dyDescent="0.25">
      <c r="A28" s="12" t="s">
        <v>81</v>
      </c>
      <c r="B28" s="5"/>
      <c r="C28" s="6"/>
      <c r="D28" s="6"/>
      <c r="E28" s="6"/>
      <c r="F28" s="5"/>
      <c r="G28" s="6"/>
      <c r="H28" s="6"/>
      <c r="I28" s="6"/>
      <c r="J28" s="6"/>
      <c r="K28" s="18" t="str" cm="1">
        <f t="array" ref="K28">IFERROR(PROCINDICE(PARENTES[#All], keyParentes, "EscolaridadeParente", 2), "------")</f>
        <v>------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2" t="s">
        <v>96</v>
      </c>
      <c r="AW28" s="6"/>
      <c r="AX28" s="6"/>
      <c r="AY28" s="6"/>
      <c r="AZ28" s="6"/>
      <c r="BA28" s="6"/>
      <c r="BB28" s="6"/>
      <c r="BC28" s="6"/>
      <c r="BD28" s="6"/>
      <c r="BE28" s="19" t="str" cm="1">
        <f t="array" ref="BE28">IFERROR(PROCINDICE(PARENTES[#All], keyParentes, "GrauParentescoParente", 2), "------")</f>
        <v>------</v>
      </c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</row>
    <row r="29" spans="1:77" s="10" customFormat="1" ht="5.8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7"/>
      <c r="AO29" s="7"/>
      <c r="AP29" s="7"/>
      <c r="AQ29" s="7"/>
      <c r="AR29" s="7"/>
      <c r="AS29" s="7"/>
      <c r="AT29" s="7"/>
      <c r="AU29" s="7"/>
      <c r="AV29" s="7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</row>
    <row r="30" spans="1:77" x14ac:dyDescent="0.25">
      <c r="A30" s="12" t="s">
        <v>78</v>
      </c>
      <c r="B30" s="6"/>
      <c r="C30" s="6"/>
      <c r="D30" s="6"/>
      <c r="E30" s="6"/>
      <c r="F30" s="19" t="str" cm="1">
        <f t="array" ref="F30">IFERROR(PROCINDICE(PARENTES[#All], keyParentes, "NomeParente", 3), "------")</f>
        <v>------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2" t="s">
        <v>79</v>
      </c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17" t="str" cm="1">
        <f t="array" ref="BK30">IFERROR(PROCINDICE(PARENTES[#All], keyParentes, "DataNascimentoParente", 3), "------")</f>
        <v>------</v>
      </c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</row>
    <row r="31" spans="1:77" x14ac:dyDescent="0.25">
      <c r="A31" s="12" t="s">
        <v>81</v>
      </c>
      <c r="B31" s="5"/>
      <c r="C31" s="6"/>
      <c r="D31" s="6"/>
      <c r="E31" s="6"/>
      <c r="F31" s="5"/>
      <c r="G31" s="6"/>
      <c r="H31" s="6"/>
      <c r="I31" s="6"/>
      <c r="J31" s="6"/>
      <c r="K31" s="18" t="str" cm="1">
        <f t="array" ref="K31">IFERROR(PROCINDICE(PARENTES[#All], keyParentes, "EscolaridadeParente", 3), "------")</f>
        <v>------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2" t="s">
        <v>96</v>
      </c>
      <c r="AW31" s="6"/>
      <c r="AX31" s="6"/>
      <c r="AY31" s="6"/>
      <c r="AZ31" s="6"/>
      <c r="BA31" s="6"/>
      <c r="BB31" s="6"/>
      <c r="BC31" s="6"/>
      <c r="BD31" s="6"/>
      <c r="BE31" s="19" t="str" cm="1">
        <f t="array" ref="BE31">IFERROR(PROCINDICE(PARENTES[#All], keyParentes, "GrauParentescoParente", 3), "------")</f>
        <v>------</v>
      </c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</row>
    <row r="32" spans="1:77" s="10" customFormat="1" ht="5.85" customHeight="1" x14ac:dyDescent="0.25">
      <c r="A32" s="7"/>
      <c r="B32" s="7"/>
      <c r="C32" s="7"/>
      <c r="D32" s="7"/>
      <c r="E32" s="7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</row>
    <row r="33" spans="1:77" x14ac:dyDescent="0.25">
      <c r="A33" s="12" t="s">
        <v>78</v>
      </c>
      <c r="B33" s="6"/>
      <c r="C33" s="6"/>
      <c r="D33" s="6"/>
      <c r="E33" s="6"/>
      <c r="F33" s="19" t="str" cm="1">
        <f t="array" ref="F33">IFERROR(PROCINDICE(PARENTES[#All], keyParentes, "NomeParente", 4), "------")</f>
        <v>------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2" t="s">
        <v>79</v>
      </c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17" t="str" cm="1">
        <f t="array" ref="BK33">IFERROR(PROCINDICE(PARENTES[#All], keyParentes, "DataNascimentoParente", 4), "------")</f>
        <v>------</v>
      </c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</row>
    <row r="34" spans="1:77" x14ac:dyDescent="0.25">
      <c r="A34" s="12" t="s">
        <v>81</v>
      </c>
      <c r="B34" s="5"/>
      <c r="C34" s="6"/>
      <c r="D34" s="6"/>
      <c r="E34" s="6"/>
      <c r="F34" s="5"/>
      <c r="G34" s="6"/>
      <c r="H34" s="6"/>
      <c r="I34" s="6"/>
      <c r="J34" s="6"/>
      <c r="K34" s="18" t="str" cm="1">
        <f t="array" ref="K34">IFERROR(PROCINDICE(PARENTES[#All], keyParentes, "EscolaridadeParente", 4), "------")</f>
        <v>------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2" t="s">
        <v>96</v>
      </c>
      <c r="AW34" s="6"/>
      <c r="AX34" s="6"/>
      <c r="AY34" s="6"/>
      <c r="AZ34" s="6"/>
      <c r="BA34" s="6"/>
      <c r="BB34" s="6"/>
      <c r="BC34" s="6"/>
      <c r="BD34" s="6"/>
      <c r="BE34" s="19" t="str" cm="1">
        <f t="array" ref="BE34">IFERROR(PROCINDICE(PARENTES[#All], keyParentes, "GrauParentescoParente", 4), "------")</f>
        <v>------</v>
      </c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</row>
    <row r="35" spans="1:77" s="10" customFormat="1" ht="5.8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"/>
      <c r="AO35" s="7"/>
      <c r="AP35" s="7"/>
      <c r="AQ35" s="7"/>
      <c r="AR35" s="7"/>
      <c r="AS35" s="7"/>
      <c r="AT35" s="7"/>
      <c r="AU35" s="7"/>
      <c r="AV35" s="7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</row>
    <row r="36" spans="1:77" x14ac:dyDescent="0.25">
      <c r="A36" s="12" t="s">
        <v>78</v>
      </c>
      <c r="B36" s="6"/>
      <c r="C36" s="6"/>
      <c r="D36" s="6"/>
      <c r="E36" s="6"/>
      <c r="F36" s="19" t="str" cm="1">
        <f t="array" ref="F36">IFERROR(PROCINDICE(PARENTES[#All], keyParentes, "NomeParente", 5), "------")</f>
        <v>------</v>
      </c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2" t="s">
        <v>79</v>
      </c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17" t="str" cm="1">
        <f t="array" ref="BK36">IFERROR(PROCINDICE(PARENTES[#All], keyParentes, "DataNascimentoParente", 5), "------")</f>
        <v>------</v>
      </c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</row>
    <row r="37" spans="1:77" x14ac:dyDescent="0.25">
      <c r="A37" s="12" t="s">
        <v>81</v>
      </c>
      <c r="B37" s="5"/>
      <c r="C37" s="6"/>
      <c r="D37" s="6"/>
      <c r="E37" s="6"/>
      <c r="F37" s="5"/>
      <c r="G37" s="6"/>
      <c r="H37" s="6"/>
      <c r="I37" s="6"/>
      <c r="J37" s="6"/>
      <c r="K37" s="18" t="str" cm="1">
        <f t="array" ref="K37">IFERROR(PROCINDICE(PARENTES[#All], keyParentes, "EscolaridadeParente", 5), "------")</f>
        <v>------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2" t="s">
        <v>96</v>
      </c>
      <c r="AW37" s="6"/>
      <c r="AX37" s="6"/>
      <c r="AY37" s="6"/>
      <c r="AZ37" s="6"/>
      <c r="BA37" s="6"/>
      <c r="BB37" s="6"/>
      <c r="BC37" s="6"/>
      <c r="BD37" s="6"/>
      <c r="BE37" s="19" t="str" cm="1">
        <f t="array" ref="BE37">IFERROR(PROCINDICE(PARENTES[#All], keyParentes, "GrauParentescoParente", 5), "------")</f>
        <v>------</v>
      </c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</row>
    <row r="38" spans="1:77" s="10" customFormat="1" ht="5.8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</row>
    <row r="39" spans="1:77" x14ac:dyDescent="0.25">
      <c r="A39" s="12" t="s">
        <v>78</v>
      </c>
      <c r="B39" s="6"/>
      <c r="C39" s="6"/>
      <c r="D39" s="6"/>
      <c r="E39" s="6"/>
      <c r="F39" s="19" t="str" cm="1">
        <f t="array" ref="F39">IFERROR(PROCINDICE(PARENTES[#All], keyParentes, "NomeParente", 6), "------")</f>
        <v>------</v>
      </c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2" t="s">
        <v>79</v>
      </c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17" t="str" cm="1">
        <f t="array" ref="BK39">IFERROR(PROCINDICE(PARENTES[#All], keyParentes, "DataNascimentoParente", 6), "------")</f>
        <v>------</v>
      </c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</row>
    <row r="40" spans="1:77" x14ac:dyDescent="0.25">
      <c r="A40" s="12" t="s">
        <v>81</v>
      </c>
      <c r="B40" s="5"/>
      <c r="C40" s="6"/>
      <c r="D40" s="6"/>
      <c r="E40" s="6"/>
      <c r="F40" s="5"/>
      <c r="G40" s="6"/>
      <c r="H40" s="6"/>
      <c r="I40" s="6"/>
      <c r="J40" s="6"/>
      <c r="K40" s="18" t="str" cm="1">
        <f t="array" ref="K40">IFERROR(PROCINDICE(PARENTES[#All], keyParentes, "EscolaridadeParente", 6), "------")</f>
        <v>------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2" t="s">
        <v>96</v>
      </c>
      <c r="AW40" s="6"/>
      <c r="AX40" s="6"/>
      <c r="AY40" s="6"/>
      <c r="AZ40" s="6"/>
      <c r="BA40" s="6"/>
      <c r="BB40" s="6"/>
      <c r="BC40" s="6"/>
      <c r="BD40" s="6"/>
      <c r="BE40" s="19" t="str" cm="1">
        <f t="array" ref="BE40">IFERROR(PROCINDICE(PARENTES[#All], keyParentes, "GrauParentescoParente", 6), "------")</f>
        <v>------</v>
      </c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</row>
    <row r="41" spans="1:77" s="10" customFormat="1" ht="5.8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</row>
    <row r="42" spans="1:77" x14ac:dyDescent="0.25">
      <c r="A42" s="12" t="s">
        <v>78</v>
      </c>
      <c r="B42" s="6"/>
      <c r="C42" s="6"/>
      <c r="D42" s="6"/>
      <c r="E42" s="6"/>
      <c r="F42" s="19" t="str" cm="1">
        <f t="array" ref="F42">IFERROR(PROCINDICE(PARENTES[#All], keyParentes, "NomeParente", 7), "------")</f>
        <v>------</v>
      </c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2" t="s">
        <v>79</v>
      </c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17" t="str" cm="1">
        <f t="array" ref="BK42">IFERROR(PROCINDICE(PARENTES[#All], keyParentes, "DataNascimentoParente", 7), "------")</f>
        <v>------</v>
      </c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</row>
    <row r="43" spans="1:77" x14ac:dyDescent="0.25">
      <c r="A43" s="12" t="s">
        <v>81</v>
      </c>
      <c r="B43" s="5"/>
      <c r="C43" s="6"/>
      <c r="D43" s="6"/>
      <c r="E43" s="6"/>
      <c r="F43" s="5"/>
      <c r="G43" s="6"/>
      <c r="H43" s="6"/>
      <c r="I43" s="6"/>
      <c r="J43" s="6"/>
      <c r="K43" s="18" t="str" cm="1">
        <f t="array" ref="K43">IFERROR(PROCINDICE(PARENTES[#All], keyParentes, "EscolaridadeParente", 7), "------")</f>
        <v>------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2" t="s">
        <v>96</v>
      </c>
      <c r="AW43" s="6"/>
      <c r="AX43" s="6"/>
      <c r="AY43" s="6"/>
      <c r="AZ43" s="6"/>
      <c r="BA43" s="6"/>
      <c r="BB43" s="6"/>
      <c r="BC43" s="6"/>
      <c r="BD43" s="6"/>
      <c r="BE43" s="19" t="str" cm="1">
        <f t="array" ref="BE43">IFERROR(PROCINDICE(PARENTES[#All], keyParentes, "GrauParentescoParente", 7), "------")</f>
        <v>------</v>
      </c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27" t="s">
        <v>97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</row>
    <row r="46" spans="1:77" x14ac:dyDescent="0.25">
      <c r="A46" t="s">
        <v>98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99</v>
      </c>
      <c r="BF46" t="s">
        <v>102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103</v>
      </c>
    </row>
    <row r="48" spans="1:77" x14ac:dyDescent="0.25">
      <c r="A48" t="s">
        <v>104</v>
      </c>
    </row>
    <row r="49" spans="1:77" x14ac:dyDescent="0.25">
      <c r="A49" t="s">
        <v>100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20" t="s">
        <v>101</v>
      </c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</row>
    <row r="53" spans="1:77" ht="9.75" customHeight="1" x14ac:dyDescent="0.25"/>
    <row r="54" spans="1:77" x14ac:dyDescent="0.25">
      <c r="A54" t="s">
        <v>105</v>
      </c>
      <c r="J54" s="26" t="str">
        <f>IFERROR(VLOOKUP(NomeAssistido, CADASTROS[], MATCH("DataSindicancia", CADASTROS[#Headers], 0), 0), "------")</f>
        <v>------</v>
      </c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F54" t="s">
        <v>106</v>
      </c>
      <c r="AM54" s="16" t="str">
        <f>IFERROR(VLOOKUP(NomeAssistido, CADASTROS[], MATCH("NomeVisitador", CADASTROS[#Headers], 0), 0), "------")</f>
        <v>------</v>
      </c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</row>
  </sheetData>
  <mergeCells count="52">
    <mergeCell ref="F18:BY18"/>
    <mergeCell ref="M22:AO22"/>
    <mergeCell ref="BP22:BY22"/>
    <mergeCell ref="A16:BY16"/>
    <mergeCell ref="K25:AU25"/>
    <mergeCell ref="BK24:BY24"/>
    <mergeCell ref="BE25:BY25"/>
    <mergeCell ref="F24:AU24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7:BY27"/>
    <mergeCell ref="K28:AU28"/>
    <mergeCell ref="BE28:BY28"/>
    <mergeCell ref="F42:AU42"/>
    <mergeCell ref="BK39:BY39"/>
    <mergeCell ref="K40:AU40"/>
    <mergeCell ref="BE40:BY40"/>
    <mergeCell ref="BK42:BY42"/>
    <mergeCell ref="F30:AU30"/>
    <mergeCell ref="F27:AU27"/>
    <mergeCell ref="BK30:BY30"/>
    <mergeCell ref="F36:AU36"/>
    <mergeCell ref="F33:AU33"/>
    <mergeCell ref="K31:AU31"/>
    <mergeCell ref="BE31:BY31"/>
    <mergeCell ref="F39:AU39"/>
    <mergeCell ref="J54:AD54"/>
    <mergeCell ref="AM54:BY54"/>
    <mergeCell ref="BK33:BY33"/>
    <mergeCell ref="K34:AU34"/>
    <mergeCell ref="BE34:BY34"/>
    <mergeCell ref="BK36:BY36"/>
    <mergeCell ref="K37:AU37"/>
    <mergeCell ref="BE37:BY37"/>
    <mergeCell ref="P52:BG52"/>
    <mergeCell ref="K43:AU43"/>
    <mergeCell ref="BE43:BY43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1"/>
  <sheetViews>
    <sheetView workbookViewId="0">
      <selection activeCell="G13" sqref="G13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45</v>
      </c>
    </row>
    <row r="11" spans="1:1" x14ac:dyDescent="0.25">
      <c r="A11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activeCell="A5" sqref="A5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activeCell="H10" sqref="H10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E10" sqref="E10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9" sqref="A9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  <row r="6" spans="1:1" x14ac:dyDescent="0.25">
      <c r="A6" t="s">
        <v>30</v>
      </c>
    </row>
    <row r="7" spans="1:1" x14ac:dyDescent="0.25">
      <c r="A7" t="s">
        <v>31</v>
      </c>
    </row>
    <row r="8" spans="1:1" x14ac:dyDescent="0.25">
      <c r="A8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5"/>
  <sheetViews>
    <sheetView workbookViewId="0">
      <selection activeCell="G14" sqref="G14"/>
    </sheetView>
  </sheetViews>
  <sheetFormatPr defaultRowHeight="15" x14ac:dyDescent="0.25"/>
  <cols>
    <col min="1" max="1" width="26.710937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9</vt:i4>
      </vt:variant>
    </vt:vector>
  </HeadingPairs>
  <TitlesOfParts>
    <vt:vector size="19" baseType="lpstr">
      <vt:lpstr>MENU</vt:lpstr>
      <vt:lpstr>CADASTROS</vt:lpstr>
      <vt:lpstr>PARENTES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2026-06-10T02:32:26Z</cp:lastPrinted>
  <dcterms:created xsi:type="dcterms:W3CDTF">2026-06-02T00:17:23Z</dcterms:created>
  <dcterms:modified xsi:type="dcterms:W3CDTF">2026-06-10T02:33:15Z</dcterms:modified>
</cp:coreProperties>
</file>