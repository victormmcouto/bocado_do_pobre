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1525" documentId="14_{99C30D5E-707F-4DBC-83FD-C0930369E172}" xr6:coauthVersionLast="47" xr6:coauthVersionMax="47" xr10:uidLastSave="{85D23417-8976-495C-812D-AA0FB844AA89}"/>
  <bookViews>
    <workbookView xWindow="-120" yWindow="-120" windowWidth="20730" windowHeight="11040" tabRatio="890" firstSheet="1" activeTab="1" xr2:uid="{FD1134B4-C37A-482C-B875-A4A14024FB80}"/>
  </bookViews>
  <sheets>
    <sheet name="MENU" sheetId="1" r:id="rId1"/>
    <sheet name="CADASTRO" sheetId="10" r:id="rId2"/>
    <sheet name="ASSISTIDO" sheetId="17" r:id="rId3"/>
    <sheet name="ACOMPANHAMENTO" sheetId="14" state="hidden" r:id="rId4"/>
    <sheet name="TABELAS_AUXILIARES" sheetId="16" state="hidden" r:id="rId5"/>
    <sheet name="CONJUGE" sheetId="19" r:id="rId6"/>
    <sheet name="DEPENDENTE" sheetId="5" r:id="rId7"/>
    <sheet name="DADOS_DE_TESTE" sheetId="12" r:id="rId8"/>
    <sheet name="GRAUS_PARENTESCO" sheetId="9" r:id="rId9"/>
    <sheet name="FICHA_CADASTRAL" sheetId="11" r:id="rId10"/>
    <sheet name="TIPO_MORADIA" sheetId="8" r:id="rId11"/>
    <sheet name="ESTADOS_CIVIS" sheetId="3" r:id="rId12"/>
    <sheet name="ESCOLARIDADES" sheetId="4" r:id="rId13"/>
    <sheet name="PROFISSOES" sheetId="6" state="hidden" r:id="rId14"/>
    <sheet name="PROGRAMAS_GOV" sheetId="7" state="hidden" r:id="rId15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 localSheetId="5">VLOOKUP([0]!NomeAssistido, CADASTROS[], MATCH("KeyParente", CADASTROS[#Headers], 0), 0)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K23" i="11" a="1"/>
  <c r="K35" i="11" a="1"/>
  <c r="BK25" i="11" a="1"/>
  <c r="K26" i="11" a="1"/>
  <c r="BE29" i="11" a="1"/>
  <c r="F37" i="11" a="1"/>
  <c r="K32" i="11" a="1"/>
  <c r="F34" i="11" a="1"/>
  <c r="BE41" i="11" a="1"/>
  <c r="BK40" i="11" a="1"/>
  <c r="BE35" i="11" a="1"/>
  <c r="BE38" i="11" a="1"/>
  <c r="BE32" i="11" a="1"/>
  <c r="F28" i="11" a="1"/>
  <c r="BK34" i="11" a="1"/>
  <c r="BK37" i="11" a="1"/>
  <c r="BK31" i="11" a="1"/>
  <c r="K29" i="11" a="1"/>
  <c r="BK22" i="11" a="1"/>
  <c r="F40" i="11" a="1"/>
  <c r="BE26" i="11" a="1"/>
  <c r="K38" i="11" a="1"/>
  <c r="F22" i="11" a="1"/>
  <c r="K41" i="11" a="1"/>
  <c r="BE23" i="11" a="1"/>
  <c r="F31" i="11" a="1"/>
  <c r="F25" i="11" a="1"/>
  <c r="BK28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<sst xmlns="http://schemas.openxmlformats.org/spreadsheetml/2006/main" count="465" uniqueCount="262">
  <si>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</si>
  <si>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</si>
  <si>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</si>
  <si>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</si>
  <si>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</si>
  <si>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</si>
  <si>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</si>
  <si>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</si>
  <si>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</si>
  <si>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</si>
  <si>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</si>
  <si>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</si>
  <si>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</si>
  <si>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</si>
  <si>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</si>
  <si>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</si>
  <si>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</si>
  <si>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</si>
  <si>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</si>
  <si>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</si>
  <si>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</si>
  <si>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</si>
  <si>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</si>
  <si>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</si>
  <si>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</si>
  <si>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</si>
  <si>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</si>
  <si>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</si>
  <si>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</si>
  <si>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</si>
  <si>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</si>
  <si>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</si>
  <si>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</si>
  <si>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</si>
  <si>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</si>
  <si>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</si>
  <si>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</si>
  <si>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</si>
  <si>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</si>
  <si>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</si>
  <si>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</si>
  <si>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</si>
  <si>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</si>
  <si>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</si>
  <si>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</si>
  <si>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</si>
  <si>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</si>
  <si>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</si>
  <si>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</si>
  <si>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</si>
  <si>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</si>
  <si>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</si>
  <si>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</si>
  <si>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</si>
  <si>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</si>
  <si>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</si>
  <si>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</si>
  <si>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</si>
  <si>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</si>
  <si>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</si>
  <si>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</si>
  <si>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</si>
  <si>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DataNascimentoParente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</si>
  <si>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</si>
  <si>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</si>
  <si>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</si>
  <si>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</si>
  <si>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</si>
  <si>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</si>
  <si>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</si>
  <si>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</si>
  <si>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</si>
  <si>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</si>
  <si>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</si>
  <si>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</si>
  <si>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</si>
  <si>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</si>
  <si>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</si>
  <si>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</si>
  <si>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</si>
  <si>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</si>
  <si>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</si>
  <si>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</si>
  <si>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</si>
  <si>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</si>
  <si>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</si>
  <si>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</si>
  <si>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</si>
  <si>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</si>
  <si>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</si>
  <si>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</si>
  <si>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</si>
  <si>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</si>
  <si>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</si>
  <si>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</si>
  <si>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</si>
  <si>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</si>
  <si>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</si>
  <si>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</si>
  <si>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</si>
  <si>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</si>
  <si>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</si>
  <si>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</si>
  <si>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</si>
  <si>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</si>
  <si>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</si>
  <si>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</si>
  <si>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</si>
  <si>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</si>
  <si>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</si>
  <si>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</si>
  <si>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</si>
  <si>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</si>
  <si>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</si>
  <si>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</si>
  <si>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</si>
  <si>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</si>
  <si>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</si>
  <si>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</si>
  <si>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</si>
  <si>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</si>
  <si>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</si>
  <si>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</si>
  <si>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</si>
  <si>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</si>
  <si>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</si>
  <si>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</si>
  <si>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</si>
  <si>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</si>
  <si>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</si>
  <si>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</si>
  <si>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</si>
  <si>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</si>
  <si>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</si>
  <si>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</si>
  <si>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</si>
  <si>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</si>
  <si>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</si>
  <si>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</si>
  <si>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</si>
  <si>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</si>
  <si>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</si>
  <si>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</si>
  <si>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</si>
  <si>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</si>
  <si>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</si>
  <si>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</si>
  <si>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</si>
  <si>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</si>
  <si>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</si>
  <si>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</si>
  <si>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</si>
  <si>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</si>
  <si>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</si>
  <si>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</si>
  <si>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</si>
  <si>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</si>
  <si>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</si>
  <si>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</si>
  <si>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</si>
  <si>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</si>
  <si>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</si>
  <si>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</si>
  <si>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</si>
  <si>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</si>
  <si>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</si>
  <si>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</si>
  <si>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</si>
  <si>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</si>
  <si>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</si>
  <si>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</si>
  <si>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</si>
  <si>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</si>
  <si>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</si>
  <si>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</si>
  <si>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</si>
  <si>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</si>
  <si>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</si>
  <si>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</si>
  <si>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</si>
  <si>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</si>
  <si>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</si>
  <si>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</si>
  <si>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</si>
  <si>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</si>
  <si>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</si>
  <si>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</si>
  <si>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</si>
  <si>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</si>
  <si>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</si>
  <si>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</si>
  <si>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</si>
  <si>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</si>
  <si>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</si>
  <si>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</si>
  <si>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</si>
  <si>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</si>
  <si>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</si>
  <si>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</si>
  <si>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</si>
  <si>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</si>
  <si>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</si>
  <si>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</si>
  <si>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</si>
  <si>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</si>
  <si>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</si>
  <si>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</si>
  <si>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</si>
  <si>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</si>
  <si>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</si>
  <si>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</si>
  <si>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</si>
  <si>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</si>
  <si>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</si>
  <si>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</si>
  <si>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</si>
  <si>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</si>
  <si>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</si>
  <si>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</si>
  <si>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</si>
  <si>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</si>
  <si>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</si>
  <si>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</si>
  <si>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</si>
  <si>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</si>
  <si>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</si>
  <si>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</si>
  <si>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</si>
  <si>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</si>
  <si>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</si>
  <si>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</si>
  <si>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</si>
  <si>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</si>
  <si>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</si>
  <si>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</si>
  <si>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</si>
  <si>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t>Mês</t>
  </si>
  <si>
    <t>Entregas</t>
  </si>
  <si>
    <t>Endereço:</t>
  </si>
  <si>
    <t>KeyEscolaridade</t>
  </si>
  <si>
    <t>KeyParentesco</t>
  </si>
  <si>
    <t>KeyAssistido</t>
  </si>
  <si>
    <t>Key</t>
  </si>
  <si>
    <t>nome</t>
  </si>
  <si>
    <t>data_nascimento</t>
  </si>
  <si>
    <t>escolaridade</t>
  </si>
  <si>
    <t>estadoCivil</t>
  </si>
  <si>
    <t>profissao</t>
  </si>
  <si>
    <t>cpf</t>
  </si>
  <si>
    <t>telefone</t>
  </si>
  <si>
    <t>KeyConjuge</t>
  </si>
  <si>
    <t>Rua Alamedas</t>
  </si>
  <si>
    <t>Cidade Nova</t>
  </si>
  <si>
    <t>Jaguaritaguá</t>
  </si>
  <si>
    <t>Cirlei</t>
  </si>
  <si>
    <t>NDependentes</t>
  </si>
  <si>
    <t>Januário Augusto</t>
  </si>
  <si>
    <t>Augusto de Lima</t>
  </si>
  <si>
    <t>Débora Augusta</t>
  </si>
  <si>
    <t>Analista de BI</t>
  </si>
  <si>
    <r>
      <rPr>
        <sz val="48"/>
        <color theme="1"/>
        <rFont val="Aptos Narrow"/>
        <family val="2"/>
        <scheme val="minor"/>
      </rPr>
      <t>ASSOCIAÇÃO GIACOMO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</si>
  <si>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Guilherme Santos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</si>
</sst>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55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4" fillId="3" borderId="4" xfId="0" applyFont="1" applyFill="1" applyBorder="1"/>
    <xf numFmtId="0" fontId="4" fillId="3" borderId="0" xfId="0" applyFont="1" applyFill="1" applyBorder="1"/>
    <xf numFmtId="0" fontId="4" fillId="3" borderId="0" xfId="0" applyFont="1" applyFill="1"/>
    <xf numFmtId="0" fontId="0" fillId="4" borderId="0" xfId="0" applyFill="1"/>
    <xf numFmtId="14" fontId="0" fillId="4" borderId="0" xfId="0" applyNumberFormat="1" applyFill="1"/>
    <xf numFmtId="14" fontId="0" fillId="0" borderId="0" xfId="0" applyNumberFormat="1" applyFill="1"/>
    <xf numFmtId="0" fontId="0" fillId="5" borderId="0" xfId="0" applyFill="1"/>
    <xf numFmtId="0" fontId="0" fillId="0" borderId="0" xfId="0" applyNumberFormat="1" applyFill="1"/>
    <xf numFmtId="0" fontId="0" fillId="0" borderId="5" xfId="0" applyNumberFormat="1" applyFont="1" applyBorder="1"/>
    <xf numFmtId="0" fontId="0" fillId="0" borderId="6" xfId="0" applyNumberFormat="1" applyFont="1" applyBorder="1"/>
    <xf numFmtId="14" fontId="0" fillId="0" borderId="5" xfId="0" applyNumberFormat="1" applyFont="1" applyBorder="1"/>
    <xf numFmtId="14" fontId="0" fillId="0" borderId="6" xfId="0" applyNumberFormat="1" applyFont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27"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19" formatCode="dd/mm/yyyy"/>
      <border diagonalUp="0" diagonalDown="0" outline="0">
        <left/>
        <right/>
        <top style="thin">
          <color theme="1"/>
        </top>
        <bottom/>
      </border>
    </dxf>
    <dxf>
      <numFmt numFmtId="166" formatCode="m/d/yyyy"/>
    </dxf>
    <dxf>
      <numFmt numFmtId="166" formatCode="m/d/yyyy"/>
    </dxf>
    <dxf>
      <numFmt numFmtId="0" formatCode="General"/>
      <border diagonalUp="0" diagonalDown="0" outline="0">
        <left/>
        <right/>
        <top style="thin">
          <color theme="1"/>
        </top>
        <bottom/>
      </border>
    </dxf>
    <dxf>
      <numFmt numFmtId="0" formatCode="General"/>
    </dxf>
    <dxf>
      <numFmt numFmtId="19" formatCode="dd/mm/yyyy"/>
      <border diagonalUp="0" diagonalDown="0" outline="0">
        <left/>
        <right/>
        <top style="thin">
          <color theme="1"/>
        </top>
        <bottom/>
      </border>
    </dxf>
    <dxf>
      <border outline="0">
        <top style="thin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166" formatCode="m/d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M2" totalsRowShown="0">
  <autoFilter ref="A1:M2" xr:uid="{0FD0A3F6-7A0C-49AF-9E20-5A523DEBD191}"/>
  <sortState xmlns:xlrd2="http://schemas.microsoft.com/office/spreadsheetml/2017/richdata2" ref="A2:M2">
    <sortCondition ref="A1:A2"/>
  </sortState>
  <tableColumns count="13">
    <tableColumn id="1" xr3:uid="{7C73FD22-45FF-460E-BC58-669273AAB06B}" name="Key"/>
    <tableColumn id="2" xr3:uid="{95CF41B7-C3A0-4192-B1F6-46CD87A4788C}" name="KeyAssistido" dataDxfId="26"/>
    <tableColumn id="16" xr3:uid="{35474776-DB40-4D3F-9BDA-5EDE5291161C}" name="Logradouro"/>
    <tableColumn id="17" xr3:uid="{37B0D069-44E2-4D84-A1A7-21E92CF3A2AB}" name="Numero"/>
    <tableColumn id="18" xr3:uid="{480E6ED5-5CDE-4EBF-9037-85F8526C688E}" name="Bairro"/>
    <tableColumn id="19" xr3:uid="{7D0A0EC3-B587-454B-9539-7A1F21EEB07F}" name="Cidade" dataDxfId="25"/>
    <tableColumn id="20" xr3:uid="{4909ACF1-40FA-4CF7-B6D2-66230B554AB5}" name="DataSindicancia"/>
    <tableColumn id="21" xr3:uid="{C460051A-1A94-40C9-877D-A1E041E99EDB}" name="NomeVisitador"/>
    <tableColumn id="22" xr3:uid="{7B4BC43E-71F3-4383-8F71-06948113319E}" name="ParticipaProgGov?"/>
    <tableColumn id="23" xr3:uid="{639410A3-2A3B-48FE-A687-0D83E20C4236}" name="ProgGov"/>
    <tableColumn id="24" xr3:uid="{7E95CF3B-C2CD-4B5B-A90C-DE6C888D5CC3}" name="TipoMoradia"/>
    <tableColumn id="25" xr3:uid="{0B6DDB2B-5F7B-4C35-ABDD-7FED199DD1B4}" name="NDependentes"/>
    <tableColumn id="27" xr3:uid="{628FE335-0807-45FB-94C4-EE1A85843D05}" name="RecebeCesta?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AD8F14-0E48-4C00-BA1C-7419B5760F8F}" name="Tabela13" displayName="Tabela13" ref="A1:I13" totalsRowShown="0" headerRowDxfId="24" tableBorderDxfId="23">
  <autoFilter ref="A1:I13" xr:uid="{62AD8F14-0E48-4C00-BA1C-7419B5760F8F}"/>
  <sortState xmlns:xlrd2="http://schemas.microsoft.com/office/spreadsheetml/2017/richdata2" ref="A2:I13">
    <sortCondition ref="A1:A13"/>
  </sortState>
  <tableColumns count="9">
    <tableColumn id="1" xr3:uid="{07F7DA2C-132C-43BD-B460-223FA39A547D}" name="Key"/>
    <tableColumn id="8" xr3:uid="{DF3A2E35-122A-4721-A3E7-C827DCE5095B}" name="nome"/>
    <tableColumn id="2" xr3:uid="{54C84201-E9B0-4564-9FFA-7DA6AA323E86}" name="data_nascimento"/>
    <tableColumn id="3" xr3:uid="{A86A5D1A-D995-41F0-A8EB-E96D6E0EA4B9}" name="escolaridade"/>
    <tableColumn id="4" xr3:uid="{D675165B-A113-44FE-8DFB-9AC43903F7C4}" name="estadoCivil"/>
    <tableColumn id="5" xr3:uid="{5F5E0CBD-289B-4A48-B68A-1858D34ABA6B}" name="profissao"/>
    <tableColumn id="6" xr3:uid="{CB2E7D23-2597-40B2-8F9E-A2F456636BAD}" name="cpf"/>
    <tableColumn id="7" xr3:uid="{71FE4E14-8818-4130-89B9-1A975D9E7CA2}" name="telefone"/>
    <tableColumn id="9" xr3:uid="{7FEBA7DA-3D70-4B39-994C-8EF736746DB8}" name="KeyConjug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22"/>
    <tableColumn id="8" xr3:uid="{3692651C-4D8A-4D18-820D-0CA629F413D1}" name="Jan" dataDxfId="21"/>
    <tableColumn id="9" xr3:uid="{1DA296C9-3C1F-4105-8AE6-2BCCFEDE2175}" name="Fev" dataDxfId="20"/>
    <tableColumn id="10" xr3:uid="{0D5481BA-3AE5-4172-922E-5321CD923C4C}" name="Mar" dataDxfId="19"/>
    <tableColumn id="11" xr3:uid="{43CDB5DF-2E1F-421B-9EC5-8F93F8DACAF5}" name="Abr" dataDxfId="18"/>
    <tableColumn id="12" xr3:uid="{D04A26DD-1318-4208-A1CB-279726E45685}" name="Mai" dataDxfId="17"/>
    <tableColumn id="13" xr3:uid="{E55555DD-9B07-4803-A857-C45478AD72CD}" name="Jun" dataDxfId="16"/>
    <tableColumn id="1" xr3:uid="{F8558262-87C2-43E0-A48C-159BB14311B5}" name="Jul" dataDxfId="15"/>
    <tableColumn id="3" xr3:uid="{DA358C54-86DB-4661-BEC3-EEDA75D2B78D}" name="Ago" dataDxfId="14"/>
    <tableColumn id="4" xr3:uid="{598C98A8-FA82-450B-BF95-189DFBD5D463}" name="Set" dataDxfId="13"/>
    <tableColumn id="5" xr3:uid="{81622C4F-6124-4E72-B2B0-5659AB4ACA48}" name="Out" dataDxfId="12"/>
    <tableColumn id="6" xr3:uid="{D4C17119-76C7-4B0E-A518-41F9972E3162}" name="Nov" dataDxfId="11"/>
    <tableColumn id="7" xr3:uid="{02524F18-A8AF-410A-AEC1-7E0751B0E45A}" name="Dez" dataDxfId="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CFFC3F9-3F48-455A-B7F8-57715BC7AB8B}" name="Tabela1315" displayName="Tabela1315" ref="A1:H6" totalsRowShown="0" headerRowDxfId="9" tableBorderDxfId="8">
  <autoFilter ref="A1:H6" xr:uid="{62AD8F14-0E48-4C00-BA1C-7419B5760F8F}"/>
  <tableColumns count="8">
    <tableColumn id="1" xr3:uid="{047DF2CA-3F94-43DC-8660-607D15C759EA}" name="Key"/>
    <tableColumn id="8" xr3:uid="{5ABA0F83-5231-429A-AA6B-D06426695445}" name="nome"/>
    <tableColumn id="2" xr3:uid="{13DA29D7-E8ED-4139-87DD-5909D8E8EDDE}" name="data_nascimento"/>
    <tableColumn id="3" xr3:uid="{856349E6-2FE7-4571-9CAD-E8875085A7DA}" name="escolaridade"/>
    <tableColumn id="4" xr3:uid="{9A346593-6132-4AA9-832D-3B73D52B002A}" name="estadoCivil"/>
    <tableColumn id="5" xr3:uid="{4AA846F1-5084-4875-8619-7736242236A2}" name="profissao"/>
    <tableColumn id="6" xr3:uid="{E3E9B0F6-7B4A-4CAD-9A75-AEFA67FC8805}" name="cpf"/>
    <tableColumn id="7" xr3:uid="{FC83D026-6AA1-4151-B776-B9CC330E8484}" name="telefone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F32" totalsRowShown="0">
  <autoFilter ref="A1:F32" xr:uid="{367E6C2F-1005-4E45-ADAA-049405029246}"/>
  <tableColumns count="6">
    <tableColumn id="1" xr3:uid="{0ED41406-040A-4E22-A5E0-C23E1CF7AF54}" name="Key"/>
    <tableColumn id="2" xr3:uid="{93E7CC29-FDEC-4A04-8B57-1B56CBA9CA65}" name="NomeParente"/>
    <tableColumn id="4" xr3:uid="{1EDC8AA1-1D79-4404-90CB-53282C95E288}" name="DataNascimentoParente" dataDxfId="7"/>
    <tableColumn id="5" xr3:uid="{7937C30B-6471-4FB4-96E2-EBA4EC0D6A05}" name="KeyEscolaridade" dataDxfId="6"/>
    <tableColumn id="3" xr3:uid="{56466016-BC3B-4F3B-9119-C6EDB4737E88}" name="KeyParentesco" dataDxfId="5"/>
    <tableColumn id="6" xr3:uid="{A229FB44-D556-44EB-A32B-7D0C53E43571}" name="KeyAssistid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4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3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7452685-B057-42CF-BFB7-6A514CFDFB92}" name="DEPENDENTE_DADOS_DE_TESTE" displayName="DEPENDENTE_DADOS_DE_TESTE" ref="AB1:AG34" totalsRowShown="0">
  <autoFilter ref="AB1:AG34" xr:uid="{97452685-B057-42CF-BFB7-6A514CFDFB92}"/>
  <tableColumns count="6">
    <tableColumn id="1" xr3:uid="{25BA7EDD-E241-4D59-8903-C4BA3CE2FDA5}" name="Key"/>
    <tableColumn id="2" xr3:uid="{E526EDD0-B90F-414C-BB92-C78F8197E82F}" name="NomeParente"/>
    <tableColumn id="4" xr3:uid="{915A1B70-27FD-40AA-9145-21F37DD18337}" name="DataNascimentoParente" dataDxfId="2"/>
    <tableColumn id="5" xr3:uid="{873C3FC1-3567-4FF6-97A5-27016C246E2A}" name="KeyEscolaridade" dataDxfId="1"/>
    <tableColumn id="3" xr3:uid="{805F8D7D-12ED-4E59-8424-2F79572773D7}" name="KeyParentesco" dataDxfId="0"/>
    <tableColumn id="6" xr3:uid="{BFFBCEAF-247A-4253-8D13-A2E20D558BBF}" name="KeyAssistido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Parentescos" displayName="Parentescos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ipoMoradia" displayName="TipoMoradia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Escolaridades" displayName="Escolaridades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D9" sqref="D9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37" t="e" vm="1">
        <v>#VALUE!</v>
      </c>
      <c r="B1" s="37"/>
      <c r="C1" s="37"/>
      <c r="D1" s="40" t="s">
        <v>260</v>
      </c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17"/>
      <c r="W1" s="17"/>
      <c r="X1" s="18"/>
      <c r="Y1" s="18"/>
      <c r="Z1" s="18"/>
    </row>
    <row r="2" spans="1:26" x14ac:dyDescent="0.25">
      <c r="A2" s="38"/>
      <c r="B2" s="38"/>
      <c r="C2" s="38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17"/>
      <c r="W2" s="17"/>
      <c r="X2" s="18"/>
      <c r="Y2" s="18"/>
      <c r="Z2" s="18"/>
    </row>
    <row r="3" spans="1:26" x14ac:dyDescent="0.25">
      <c r="A3" s="38"/>
      <c r="B3" s="38"/>
      <c r="C3" s="38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17"/>
      <c r="W3" s="17"/>
      <c r="X3" s="18"/>
      <c r="Y3" s="18"/>
      <c r="Z3" s="18"/>
    </row>
    <row r="4" spans="1:26" x14ac:dyDescent="0.25">
      <c r="A4" s="38"/>
      <c r="B4" s="38"/>
      <c r="C4" s="38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17"/>
      <c r="W4" s="17"/>
      <c r="X4" s="18"/>
      <c r="Y4" s="18"/>
      <c r="Z4" s="18"/>
    </row>
    <row r="5" spans="1:26" x14ac:dyDescent="0.25">
      <c r="A5" s="38"/>
      <c r="B5" s="38"/>
      <c r="C5" s="38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17"/>
      <c r="W5" s="17"/>
      <c r="X5" s="18"/>
      <c r="Y5" s="18"/>
      <c r="Z5" s="18"/>
    </row>
    <row r="6" spans="1:26" x14ac:dyDescent="0.25">
      <c r="A6" s="38"/>
      <c r="B6" s="38"/>
      <c r="C6" s="38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17"/>
      <c r="W6" s="17"/>
      <c r="X6" s="18"/>
      <c r="Y6" s="18"/>
      <c r="Z6" s="18"/>
    </row>
    <row r="7" spans="1:26" x14ac:dyDescent="0.25">
      <c r="A7" s="38"/>
      <c r="B7" s="38"/>
      <c r="C7" s="38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17"/>
      <c r="W7" s="17"/>
      <c r="X7" s="18"/>
      <c r="Y7" s="18"/>
      <c r="Z7" s="18"/>
    </row>
    <row r="8" spans="1:26" x14ac:dyDescent="0.25">
      <c r="A8" s="39"/>
      <c r="B8" s="39"/>
      <c r="C8" s="39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18"/>
      <c r="W8" s="18"/>
      <c r="X8" s="18"/>
      <c r="Y8" s="18"/>
      <c r="Z8" s="18"/>
    </row>
    <row r="9" spans="1:26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6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6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6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6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6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6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6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"/>
  <dimension ref="A1:M2"/>
  <sheetViews>
    <sheetView tabSelected="1" workbookViewId="0">
      <selection activeCell="L1" sqref="L1:L1048576"/>
    </sheetView>
  </sheetViews>
  <sheetFormatPr defaultRowHeight="15" x14ac:dyDescent="0.25"/>
  <cols>
    <col min="1" max="1" width="6.5703125" bestFit="1" customWidth="1"/>
    <col min="2" max="2" width="14.85546875" bestFit="1" customWidth="1"/>
    <col min="3" max="3" width="13.42578125" bestFit="1" customWidth="1"/>
    <col min="4" max="4" width="10.5703125" bestFit="1" customWidth="1"/>
    <col min="5" max="5" width="8.5703125" bestFit="1" customWidth="1"/>
    <col min="6" max="6" width="9.7109375" bestFit="1" customWidth="1"/>
    <col min="7" max="7" width="17.85546875" bestFit="1" customWidth="1"/>
    <col min="8" max="8" width="16.85546875" bestFit="1" customWidth="1"/>
    <col min="9" max="9" width="20" bestFit="1" customWidth="1"/>
    <col min="10" max="10" width="10.85546875" bestFit="1" customWidth="1"/>
    <col min="11" max="11" width="14.28515625" bestFit="1" customWidth="1"/>
    <col min="12" max="12" width="12.140625" bestFit="1" customWidth="1"/>
    <col min="13" max="13" width="16.5703125" bestFit="1" customWidth="1"/>
    <col min="16" max="16" width="10.42578125" bestFit="1" customWidth="1"/>
    <col min="18" max="18" width="12.140625" bestFit="1" customWidth="1"/>
    <col min="23" max="23" width="12.140625" bestFit="1" customWidth="1"/>
    <col min="24" max="24" width="23.140625" bestFit="1" customWidth="1"/>
  </cols>
  <sheetData>
    <row r="1" spans="1:13" x14ac:dyDescent="0.25">
      <c r="A1" t="s">
        <v>242</v>
      </c>
      <c r="B1" t="s">
        <v>241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255</v>
      </c>
      <c r="M1" t="s">
        <v>60</v>
      </c>
    </row>
    <row r="2" spans="1:13" x14ac:dyDescent="0.25">
      <c r="A2">
        <v>1</v>
      </c>
      <c r="B2" s="16">
        <v>2</v>
      </c>
      <c r="C2" t="s">
        <v>251</v>
      </c>
      <c r="D2">
        <v>453</v>
      </c>
      <c r="E2" t="s">
        <v>252</v>
      </c>
      <c r="F2" s="1" t="s">
        <v>253</v>
      </c>
      <c r="G2" s="1">
        <v>46196</v>
      </c>
      <c r="H2" t="s">
        <v>254</v>
      </c>
      <c r="I2" t="b">
        <v>0</v>
      </c>
      <c r="K2">
        <v>1</v>
      </c>
      <c r="L2">
        <v>5</v>
      </c>
      <c r="M2" t="b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E32-61BE-46FC-AAA7-09C5AD85E474}">
  <sheetPr codeName="wksASSISTIDO"/>
  <dimension ref="A1:I13"/>
  <sheetViews>
    <sheetView workbookViewId="0">
      <selection activeCell="A11" sqref="A11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  <col min="9" max="9" width="15.42578125" bestFit="1" customWidth="1"/>
  </cols>
  <sheetData>
    <row r="1" spans="1:9" x14ac:dyDescent="0.25">
      <c r="A1" s="25" t="s">
        <v>242</v>
      </c>
      <c r="B1" s="25" t="s">
        <v>243</v>
      </c>
      <c r="C1" s="26" t="s">
        <v>244</v>
      </c>
      <c r="D1" s="26" t="s">
        <v>245</v>
      </c>
      <c r="E1" s="26" t="s">
        <v>246</v>
      </c>
      <c r="F1" s="26" t="s">
        <v>247</v>
      </c>
      <c r="G1" s="26" t="s">
        <v>248</v>
      </c>
      <c r="H1" s="26" t="s">
        <v>249</v>
      </c>
      <c r="I1" s="27" t="s">
        <v>250</v>
      </c>
    </row>
    <row r="2" spans="1:9" x14ac:dyDescent="0.25">
      <c r="A2">
        <v>1</v>
      </c>
      <c r="B2" t="s">
        <v>256</v>
      </c>
      <c r="C2" s="1">
        <v>35239</v>
      </c>
      <c r="D2">
        <v>6</v>
      </c>
      <c r="E2">
        <v>2</v>
      </c>
      <c r="F2" t="s">
        <v>24</v>
      </c>
      <c r="G2">
        <v>11878432903</v>
      </c>
      <c r="H2">
        <v>31963741296</v>
      </c>
      <c r="I2">
        <v>1</v>
      </c>
    </row>
    <row r="3" spans="1:9" x14ac:dyDescent="0.25">
      <c r="A3">
        <v>2</v>
      </c>
      <c r="B3" t="s">
        <v>256</v>
      </c>
      <c r="C3" s="1">
        <v>35239</v>
      </c>
      <c r="D3">
        <v>6</v>
      </c>
      <c r="E3">
        <v>2</v>
      </c>
      <c r="F3" t="s">
        <v>24</v>
      </c>
      <c r="G3">
        <v>11878432903</v>
      </c>
      <c r="H3">
        <v>31963741296</v>
      </c>
      <c r="I3">
        <v>1</v>
      </c>
    </row>
    <row r="4" spans="1:9" x14ac:dyDescent="0.25">
      <c r="A4">
        <v>3</v>
      </c>
      <c r="B4" t="s">
        <v>256</v>
      </c>
      <c r="C4" s="1">
        <v>35239</v>
      </c>
      <c r="D4">
        <v>6</v>
      </c>
      <c r="E4">
        <v>2</v>
      </c>
      <c r="F4" t="s">
        <v>24</v>
      </c>
      <c r="G4">
        <v>11878432903</v>
      </c>
      <c r="H4">
        <v>31963741296</v>
      </c>
      <c r="I4">
        <v>0</v>
      </c>
    </row>
    <row r="5" spans="1:9" x14ac:dyDescent="0.25">
      <c r="A5">
        <v>4</v>
      </c>
      <c r="B5" t="s">
        <v>256</v>
      </c>
      <c r="C5" s="1">
        <v>35239</v>
      </c>
      <c r="D5">
        <v>6</v>
      </c>
      <c r="E5">
        <v>2</v>
      </c>
      <c r="F5" t="s">
        <v>24</v>
      </c>
      <c r="G5">
        <v>11878432903</v>
      </c>
      <c r="H5">
        <v>31963741296</v>
      </c>
      <c r="I5">
        <v>0</v>
      </c>
    </row>
    <row r="6" spans="1:9" x14ac:dyDescent="0.25">
      <c r="A6">
        <v>5</v>
      </c>
      <c r="B6" s="28" t="s">
        <v>256</v>
      </c>
      <c r="C6" s="29">
        <v>35239</v>
      </c>
      <c r="D6" s="28">
        <v>6</v>
      </c>
      <c r="E6" s="28">
        <v>2</v>
      </c>
      <c r="F6" s="28" t="s">
        <v>24</v>
      </c>
      <c r="G6" s="28">
        <v>11878432903</v>
      </c>
      <c r="H6" s="28">
        <v>31963741296</v>
      </c>
      <c r="I6" s="28">
        <v>0</v>
      </c>
    </row>
    <row r="7" spans="1:9" x14ac:dyDescent="0.25">
      <c r="A7">
        <v>6</v>
      </c>
      <c r="B7" s="28" t="s">
        <v>261</v>
      </c>
      <c r="C7" s="29"/>
      <c r="D7" s="28">
        <v>6</v>
      </c>
      <c r="E7" s="28">
        <v>2</v>
      </c>
      <c r="F7" s="28"/>
      <c r="G7" s="28"/>
      <c r="H7" s="28"/>
      <c r="I7" s="28">
        <v>8</v>
      </c>
    </row>
    <row r="8" spans="1:9" x14ac:dyDescent="0.25">
      <c r="A8">
        <v>7</v>
      </c>
      <c r="B8" t="s">
        <v>256</v>
      </c>
      <c r="C8" s="1">
        <v>35239</v>
      </c>
      <c r="D8">
        <v>6</v>
      </c>
      <c r="E8">
        <v>2</v>
      </c>
      <c r="F8" t="s">
        <v>24</v>
      </c>
      <c r="G8">
        <v>11878432903</v>
      </c>
      <c r="H8">
        <v>31963741296</v>
      </c>
      <c r="I8">
        <v>0</v>
      </c>
    </row>
    <row r="9" spans="1:9" x14ac:dyDescent="0.25">
      <c r="A9">
        <v>8</v>
      </c>
      <c r="B9" s="10" t="s">
        <v>256</v>
      </c>
      <c r="C9" s="30">
        <v>35239</v>
      </c>
      <c r="D9" s="10">
        <v>6</v>
      </c>
      <c r="E9" s="10">
        <v>2</v>
      </c>
      <c r="F9" s="10" t="s">
        <v>24</v>
      </c>
      <c r="G9" s="10">
        <v>11878432903</v>
      </c>
      <c r="H9" s="10">
        <v>31963741296</v>
      </c>
      <c r="I9" s="10">
        <v>4</v>
      </c>
    </row>
    <row r="10" spans="1:9" x14ac:dyDescent="0.25">
      <c r="A10">
        <v>9</v>
      </c>
      <c r="B10" t="s">
        <v>256</v>
      </c>
      <c r="C10" s="1">
        <v>35239</v>
      </c>
      <c r="D10">
        <v>6</v>
      </c>
      <c r="E10">
        <v>2</v>
      </c>
      <c r="F10" t="s">
        <v>24</v>
      </c>
      <c r="G10">
        <v>11878432903</v>
      </c>
      <c r="H10">
        <v>31963741296</v>
      </c>
      <c r="I10">
        <v>9</v>
      </c>
    </row>
    <row r="11" spans="1:9" x14ac:dyDescent="0.25">
      <c r="A11">
        <v>10</v>
      </c>
      <c r="B11" s="10" t="s">
        <v>256</v>
      </c>
      <c r="C11" s="30">
        <v>35239</v>
      </c>
      <c r="D11" s="10">
        <v>6</v>
      </c>
      <c r="E11" s="10">
        <v>2</v>
      </c>
      <c r="F11" s="10" t="s">
        <v>24</v>
      </c>
      <c r="G11" s="10">
        <v>11878432903</v>
      </c>
      <c r="H11" s="10">
        <v>31963741296</v>
      </c>
      <c r="I11" s="10">
        <v>0</v>
      </c>
    </row>
    <row r="12" spans="1:9" x14ac:dyDescent="0.25">
      <c r="A12">
        <v>11</v>
      </c>
      <c r="B12" s="10" t="s">
        <v>256</v>
      </c>
      <c r="C12" s="30">
        <v>35239</v>
      </c>
      <c r="D12" s="10">
        <v>6</v>
      </c>
      <c r="E12" s="10">
        <v>2</v>
      </c>
      <c r="F12" s="10" t="s">
        <v>24</v>
      </c>
      <c r="G12" s="10">
        <v>11878432903</v>
      </c>
      <c r="H12" s="10">
        <v>31963741296</v>
      </c>
      <c r="I12" s="10">
        <v>0</v>
      </c>
    </row>
    <row r="13" spans="1:9" x14ac:dyDescent="0.25">
      <c r="A13">
        <v>12</v>
      </c>
      <c r="B13" s="10" t="s">
        <v>256</v>
      </c>
      <c r="C13" s="30">
        <v>35239</v>
      </c>
      <c r="D13" s="10">
        <v>6</v>
      </c>
      <c r="E13" s="10">
        <v>2</v>
      </c>
      <c r="F13" s="10" t="s">
        <v>24</v>
      </c>
      <c r="G13" s="10">
        <v>11878432903</v>
      </c>
      <c r="H13" s="10">
        <v>31963741296</v>
      </c>
      <c r="I13" s="10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6" t="s">
        <v>234</v>
      </c>
      <c r="B1" s="16" t="s">
        <v>222</v>
      </c>
      <c r="C1" s="16" t="s">
        <v>223</v>
      </c>
      <c r="D1" s="16" t="s">
        <v>224</v>
      </c>
      <c r="E1" s="16" t="s">
        <v>225</v>
      </c>
      <c r="F1" s="16" t="s">
        <v>226</v>
      </c>
      <c r="G1" s="16" t="s">
        <v>227</v>
      </c>
      <c r="H1" t="s">
        <v>228</v>
      </c>
      <c r="I1" t="s">
        <v>229</v>
      </c>
      <c r="J1" t="s">
        <v>230</v>
      </c>
      <c r="K1" t="s">
        <v>231</v>
      </c>
      <c r="L1" t="s">
        <v>232</v>
      </c>
      <c r="M1" t="s">
        <v>233</v>
      </c>
    </row>
    <row r="2" spans="1:13" x14ac:dyDescent="0.25">
      <c r="A2">
        <v>1</v>
      </c>
      <c r="B2" s="16" t="b">
        <v>1</v>
      </c>
      <c r="C2" s="16" t="b">
        <v>0</v>
      </c>
      <c r="D2" s="16" t="b">
        <v>1</v>
      </c>
      <c r="E2" s="16" t="b">
        <v>0</v>
      </c>
      <c r="F2" s="16" t="b">
        <v>0</v>
      </c>
      <c r="G2" s="16" t="b">
        <v>1</v>
      </c>
      <c r="H2" s="16" t="b">
        <v>0</v>
      </c>
      <c r="I2" s="16" t="b">
        <v>0</v>
      </c>
      <c r="J2" s="16" t="b">
        <v>0</v>
      </c>
      <c r="K2" s="16" t="b">
        <v>0</v>
      </c>
      <c r="L2" s="16" t="b">
        <v>0</v>
      </c>
      <c r="M2" s="16" t="b">
        <v>0</v>
      </c>
    </row>
    <row r="3" spans="1:13" x14ac:dyDescent="0.25">
      <c r="A3">
        <v>2</v>
      </c>
      <c r="B3" s="16" t="b">
        <v>0</v>
      </c>
      <c r="C3" s="16" t="b">
        <v>1</v>
      </c>
      <c r="D3" s="16" t="b">
        <v>1</v>
      </c>
      <c r="E3" s="16" t="b">
        <v>0</v>
      </c>
      <c r="F3" s="16" t="b">
        <v>0</v>
      </c>
      <c r="G3" s="16" t="b">
        <v>0</v>
      </c>
      <c r="H3" s="16" t="b">
        <v>0</v>
      </c>
      <c r="I3" s="16" t="b">
        <v>0</v>
      </c>
      <c r="J3" s="16" t="b">
        <v>0</v>
      </c>
      <c r="K3" s="16" t="b">
        <v>0</v>
      </c>
      <c r="L3" s="16" t="b">
        <v>0</v>
      </c>
      <c r="M3" s="16" t="b">
        <v>0</v>
      </c>
    </row>
    <row r="4" spans="1:13" x14ac:dyDescent="0.25">
      <c r="A4">
        <v>3</v>
      </c>
      <c r="B4" s="16" t="b">
        <v>1</v>
      </c>
      <c r="C4" s="16" t="b">
        <v>1</v>
      </c>
      <c r="D4" s="16" t="b">
        <v>1</v>
      </c>
      <c r="E4" s="16" t="b">
        <v>0</v>
      </c>
      <c r="F4" s="16" t="b">
        <v>0</v>
      </c>
      <c r="G4" s="16" t="b">
        <v>1</v>
      </c>
      <c r="H4" s="16" t="b">
        <v>0</v>
      </c>
      <c r="I4" s="16" t="b">
        <v>0</v>
      </c>
      <c r="J4" s="16" t="b">
        <v>0</v>
      </c>
      <c r="K4" s="16" t="b">
        <v>0</v>
      </c>
      <c r="L4" s="16" t="b">
        <v>0</v>
      </c>
      <c r="M4" s="16" t="b">
        <v>0</v>
      </c>
    </row>
    <row r="5" spans="1:13" x14ac:dyDescent="0.25">
      <c r="A5">
        <v>4</v>
      </c>
      <c r="B5" s="16" t="b">
        <v>1</v>
      </c>
      <c r="C5" s="16" t="b">
        <v>1</v>
      </c>
      <c r="D5" s="16" t="b">
        <v>0</v>
      </c>
      <c r="E5" s="16" t="b">
        <v>0</v>
      </c>
      <c r="F5" s="16" t="b">
        <v>0</v>
      </c>
      <c r="G5" s="16" t="b">
        <v>0</v>
      </c>
      <c r="H5" s="16" t="b">
        <v>0</v>
      </c>
      <c r="I5" s="16" t="b">
        <v>0</v>
      </c>
      <c r="J5" s="16" t="b">
        <v>0</v>
      </c>
      <c r="K5" s="16" t="b">
        <v>0</v>
      </c>
      <c r="L5" s="16" t="b">
        <v>0</v>
      </c>
      <c r="M5" s="16" t="b">
        <v>0</v>
      </c>
    </row>
    <row r="6" spans="1:13" x14ac:dyDescent="0.25">
      <c r="A6">
        <v>5</v>
      </c>
      <c r="B6" s="16" t="b">
        <v>1</v>
      </c>
      <c r="C6" s="16" t="b">
        <v>1</v>
      </c>
      <c r="D6" s="16" t="b">
        <v>1</v>
      </c>
      <c r="E6" s="16" t="b">
        <v>0</v>
      </c>
      <c r="F6" s="16" t="b">
        <v>0</v>
      </c>
      <c r="G6" s="16" t="b">
        <v>1</v>
      </c>
      <c r="H6" s="16" t="b">
        <v>0</v>
      </c>
      <c r="I6" s="16" t="b">
        <v>0</v>
      </c>
      <c r="J6" s="16" t="b">
        <v>0</v>
      </c>
      <c r="K6" s="16" t="b">
        <v>0</v>
      </c>
      <c r="L6" s="16" t="b">
        <v>0</v>
      </c>
      <c r="M6" s="16" t="b">
        <v>0</v>
      </c>
    </row>
    <row r="7" spans="1:13" x14ac:dyDescent="0.25">
      <c r="A7">
        <v>6</v>
      </c>
      <c r="B7" s="16" t="b">
        <v>1</v>
      </c>
      <c r="C7" s="16" t="b">
        <v>0</v>
      </c>
      <c r="D7" s="16" t="b">
        <v>0</v>
      </c>
      <c r="E7" s="16" t="b">
        <v>0</v>
      </c>
      <c r="F7" s="16" t="b">
        <v>0</v>
      </c>
      <c r="G7" s="16" t="b">
        <v>0</v>
      </c>
      <c r="H7" s="16" t="b">
        <v>0</v>
      </c>
      <c r="I7" s="16" t="b">
        <v>0</v>
      </c>
      <c r="J7" s="16" t="b">
        <v>0</v>
      </c>
      <c r="K7" s="16" t="b">
        <v>0</v>
      </c>
      <c r="L7" s="16" t="b">
        <v>0</v>
      </c>
      <c r="M7" s="16" t="b">
        <v>0</v>
      </c>
    </row>
    <row r="8" spans="1:13" x14ac:dyDescent="0.25">
      <c r="A8">
        <v>7</v>
      </c>
      <c r="B8" s="16" t="b">
        <v>1</v>
      </c>
      <c r="C8" s="16" t="b">
        <v>1</v>
      </c>
      <c r="D8" s="16" t="b">
        <v>1</v>
      </c>
      <c r="E8" s="16" t="b">
        <v>0</v>
      </c>
      <c r="F8" s="16" t="b">
        <v>0</v>
      </c>
      <c r="G8" s="16" t="b">
        <v>0</v>
      </c>
      <c r="H8" s="16" t="b">
        <v>0</v>
      </c>
      <c r="I8" s="16" t="b">
        <v>0</v>
      </c>
      <c r="J8" s="16" t="b">
        <v>0</v>
      </c>
      <c r="K8" s="16" t="b">
        <v>0</v>
      </c>
      <c r="L8" s="16" t="b">
        <v>0</v>
      </c>
      <c r="M8" s="16" t="b">
        <v>0</v>
      </c>
    </row>
    <row r="9" spans="1:13" x14ac:dyDescent="0.25">
      <c r="A9">
        <v>8</v>
      </c>
      <c r="B9" s="16" t="b">
        <v>1</v>
      </c>
      <c r="C9" s="16" t="b">
        <v>0</v>
      </c>
      <c r="D9" s="16" t="b">
        <v>1</v>
      </c>
      <c r="E9" s="16" t="b">
        <v>0</v>
      </c>
      <c r="F9" s="16" t="b">
        <v>0</v>
      </c>
      <c r="G9" s="16" t="b">
        <v>1</v>
      </c>
      <c r="H9" s="16" t="b">
        <v>0</v>
      </c>
      <c r="I9" s="16" t="b">
        <v>0</v>
      </c>
      <c r="J9" s="16" t="b">
        <v>0</v>
      </c>
      <c r="K9" s="16" t="b">
        <v>0</v>
      </c>
      <c r="L9" s="16" t="b">
        <v>0</v>
      </c>
      <c r="M9" s="16" t="b">
        <v>0</v>
      </c>
    </row>
    <row r="10" spans="1:13" x14ac:dyDescent="0.25">
      <c r="A10">
        <v>9</v>
      </c>
      <c r="B10" s="16" t="b">
        <v>0</v>
      </c>
      <c r="C10" s="16" t="b">
        <v>0</v>
      </c>
      <c r="D10" s="16" t="b">
        <v>0</v>
      </c>
      <c r="E10" s="16" t="b">
        <v>0</v>
      </c>
      <c r="F10" s="16" t="b">
        <v>0</v>
      </c>
      <c r="G10" s="16" t="b">
        <v>1</v>
      </c>
      <c r="H10" s="16" t="b">
        <v>0</v>
      </c>
      <c r="I10" s="16" t="b">
        <v>0</v>
      </c>
      <c r="J10" s="16" t="b">
        <v>0</v>
      </c>
      <c r="K10" s="16" t="b">
        <v>0</v>
      </c>
      <c r="L10" s="16" t="b">
        <v>0</v>
      </c>
      <c r="M10" s="16" t="b">
        <v>0</v>
      </c>
    </row>
    <row r="11" spans="1:13" x14ac:dyDescent="0.25">
      <c r="A11" s="16">
        <v>10</v>
      </c>
      <c r="B11" s="16" t="b">
        <v>0</v>
      </c>
      <c r="C11" s="16" t="b">
        <v>0</v>
      </c>
      <c r="D11" s="16" t="b">
        <v>0</v>
      </c>
      <c r="E11" s="16" t="b">
        <v>0</v>
      </c>
      <c r="F11" s="16" t="b">
        <v>0</v>
      </c>
      <c r="G11" s="16" t="b">
        <v>1</v>
      </c>
      <c r="H11" s="16" t="b">
        <v>0</v>
      </c>
      <c r="I11" s="16" t="b">
        <v>0</v>
      </c>
      <c r="J11" s="16" t="b">
        <v>0</v>
      </c>
      <c r="K11" s="16" t="b">
        <v>0</v>
      </c>
      <c r="L11" s="16" t="b">
        <v>0</v>
      </c>
      <c r="M11" s="16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236</v>
      </c>
      <c r="B1" t="s">
        <v>237</v>
      </c>
    </row>
    <row r="2" spans="1:2" x14ac:dyDescent="0.25">
      <c r="A2" t="s">
        <v>222</v>
      </c>
      <c r="B2">
        <f>COUNTIF(Acompanhamento[Jan],TRUE)</f>
        <v>7</v>
      </c>
    </row>
    <row r="3" spans="1:2" x14ac:dyDescent="0.25">
      <c r="A3" t="s">
        <v>223</v>
      </c>
      <c r="B3">
        <f>COUNTIF(Acompanhamento[Fev],TRUE)</f>
        <v>5</v>
      </c>
    </row>
    <row r="4" spans="1:2" x14ac:dyDescent="0.25">
      <c r="A4" t="s">
        <v>224</v>
      </c>
      <c r="B4">
        <f>COUNTIF(Acompanhamento[Mar],TRUE)</f>
        <v>6</v>
      </c>
    </row>
    <row r="5" spans="1:2" x14ac:dyDescent="0.25">
      <c r="A5" t="s">
        <v>225</v>
      </c>
      <c r="B5">
        <f>COUNTIF(Acompanhamento[Abr],TRUE)</f>
        <v>0</v>
      </c>
    </row>
    <row r="6" spans="1:2" x14ac:dyDescent="0.25">
      <c r="A6" t="s">
        <v>226</v>
      </c>
      <c r="B6">
        <f>COUNTIF(Acompanhamento[Mai],TRUE)</f>
        <v>0</v>
      </c>
    </row>
    <row r="7" spans="1:2" x14ac:dyDescent="0.25">
      <c r="A7" t="s">
        <v>227</v>
      </c>
      <c r="B7">
        <f>COUNTIF(Acompanhamento[Jun],TRUE)</f>
        <v>6</v>
      </c>
    </row>
    <row r="8" spans="1:2" x14ac:dyDescent="0.25">
      <c r="A8" t="s">
        <v>228</v>
      </c>
      <c r="B8">
        <f>COUNTIF(Acompanhamento[Jul],TRUE)</f>
        <v>0</v>
      </c>
    </row>
    <row r="9" spans="1:2" x14ac:dyDescent="0.25">
      <c r="A9" t="s">
        <v>229</v>
      </c>
      <c r="B9">
        <f>COUNTIF(Acompanhamento[Ago],TRUE)</f>
        <v>0</v>
      </c>
    </row>
    <row r="10" spans="1:2" x14ac:dyDescent="0.25">
      <c r="A10" t="s">
        <v>230</v>
      </c>
      <c r="B10">
        <f>COUNTIF(Acompanhamento[Set],TRUE)</f>
        <v>0</v>
      </c>
    </row>
    <row r="11" spans="1:2" x14ac:dyDescent="0.25">
      <c r="A11" t="s">
        <v>231</v>
      </c>
      <c r="B11">
        <f>COUNTIF(Acompanhamento[Out],TRUE)</f>
        <v>0</v>
      </c>
    </row>
    <row r="12" spans="1:2" x14ac:dyDescent="0.25">
      <c r="A12" t="s">
        <v>232</v>
      </c>
      <c r="B12">
        <f>COUNTIF(Acompanhamento[Nov],TRUE)</f>
        <v>0</v>
      </c>
    </row>
    <row r="13" spans="1:2" x14ac:dyDescent="0.25">
      <c r="A13" t="s">
        <v>233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7D40-0F12-4BB3-A577-024AB77C53FD}">
  <sheetPr codeName="wksCONJUGE"/>
  <dimension ref="A1:H6"/>
  <sheetViews>
    <sheetView workbookViewId="0">
      <selection activeCell="C13" sqref="C13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</cols>
  <sheetData>
    <row r="1" spans="1:8" x14ac:dyDescent="0.25">
      <c r="A1" s="25" t="s">
        <v>242</v>
      </c>
      <c r="B1" s="25" t="s">
        <v>243</v>
      </c>
      <c r="C1" s="26" t="s">
        <v>244</v>
      </c>
      <c r="D1" s="26" t="s">
        <v>245</v>
      </c>
      <c r="E1" s="26" t="s">
        <v>246</v>
      </c>
      <c r="F1" s="26" t="s">
        <v>247</v>
      </c>
      <c r="G1" s="26" t="s">
        <v>248</v>
      </c>
      <c r="H1" s="26" t="s">
        <v>249</v>
      </c>
    </row>
    <row r="2" spans="1:8" x14ac:dyDescent="0.25">
      <c r="A2" s="28">
        <v>1</v>
      </c>
      <c r="B2" s="28" t="s">
        <v>258</v>
      </c>
      <c r="C2" s="29">
        <v>35888</v>
      </c>
      <c r="D2" s="28">
        <v>9</v>
      </c>
      <c r="E2" s="28">
        <v>2</v>
      </c>
      <c r="F2" s="28" t="s">
        <v>259</v>
      </c>
      <c r="G2" s="28">
        <v>18635609821</v>
      </c>
      <c r="H2" s="28">
        <v>31963894234</v>
      </c>
    </row>
    <row r="3" spans="1:8" x14ac:dyDescent="0.25">
      <c r="A3" s="28">
        <v>3</v>
      </c>
      <c r="B3" s="28" t="s">
        <v>258</v>
      </c>
      <c r="C3" s="29">
        <v>35888</v>
      </c>
      <c r="D3" s="28">
        <v>9</v>
      </c>
      <c r="E3" s="28">
        <v>2</v>
      </c>
      <c r="F3" s="28" t="s">
        <v>259</v>
      </c>
      <c r="G3" s="28">
        <v>18635609821</v>
      </c>
      <c r="H3" s="28">
        <v>31963894234</v>
      </c>
    </row>
    <row r="4" spans="1:8" x14ac:dyDescent="0.25">
      <c r="A4">
        <v>9</v>
      </c>
      <c r="B4" t="s">
        <v>258</v>
      </c>
      <c r="C4" s="1">
        <v>35888</v>
      </c>
      <c r="D4">
        <v>9</v>
      </c>
      <c r="E4">
        <v>2</v>
      </c>
      <c r="F4" t="s">
        <v>259</v>
      </c>
      <c r="G4">
        <v>18635609821</v>
      </c>
      <c r="H4">
        <v>31963894234</v>
      </c>
    </row>
    <row r="5" spans="1:8" x14ac:dyDescent="0.25">
      <c r="A5">
        <v>10</v>
      </c>
      <c r="B5" t="s">
        <v>258</v>
      </c>
      <c r="C5" s="1">
        <v>35888</v>
      </c>
      <c r="D5">
        <v>9</v>
      </c>
      <c r="E5">
        <v>2</v>
      </c>
      <c r="F5" t="s">
        <v>259</v>
      </c>
      <c r="G5">
        <v>18635609821</v>
      </c>
      <c r="H5">
        <v>31963894234</v>
      </c>
    </row>
    <row r="6" spans="1:8" x14ac:dyDescent="0.25">
      <c r="A6">
        <v>4</v>
      </c>
      <c r="B6" t="s">
        <v>258</v>
      </c>
      <c r="C6" s="1">
        <v>35888</v>
      </c>
      <c r="D6">
        <v>9</v>
      </c>
      <c r="E6">
        <v>2</v>
      </c>
      <c r="F6" t="s">
        <v>259</v>
      </c>
      <c r="G6">
        <v>18635609821</v>
      </c>
      <c r="H6">
        <v>31963894234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DEPENDENTE"/>
  <dimension ref="A1:H39"/>
  <sheetViews>
    <sheetView workbookViewId="0"/>
  </sheetViews>
  <sheetFormatPr defaultRowHeight="15" x14ac:dyDescent="0.25"/>
  <cols>
    <col min="1" max="1" width="13.5703125" customWidth="1"/>
    <col min="2" max="2" width="32.140625" customWidth="1"/>
    <col min="3" max="3" width="25.140625" customWidth="1"/>
    <col min="4" max="4" width="25.7109375" customWidth="1"/>
    <col min="5" max="5" width="30.28515625" customWidth="1"/>
    <col min="6" max="6" width="14.85546875" customWidth="1"/>
  </cols>
  <sheetData>
    <row r="1" spans="1:6" x14ac:dyDescent="0.25">
      <c r="A1" t="s">
        <v>242</v>
      </c>
      <c r="B1" t="s">
        <v>63</v>
      </c>
      <c r="C1" t="s">
        <v>62</v>
      </c>
      <c r="D1" s="16" t="s">
        <v>239</v>
      </c>
      <c r="E1" s="16" t="s">
        <v>240</v>
      </c>
      <c r="F1" t="s">
        <v>241</v>
      </c>
    </row>
    <row r="2" spans="1:6" x14ac:dyDescent="0.25">
      <c r="A2">
        <v>5</v>
      </c>
      <c r="B2" t="s">
        <v>178</v>
      </c>
      <c r="C2" s="35">
        <v>40377</v>
      </c>
      <c r="D2" s="16">
        <v>2</v>
      </c>
      <c r="E2" s="33">
        <v>1</v>
      </c>
      <c r="F2">
        <v>3</v>
      </c>
    </row>
    <row r="3" spans="1:6" x14ac:dyDescent="0.25">
      <c r="A3">
        <v>6</v>
      </c>
      <c r="B3" t="s">
        <v>179</v>
      </c>
      <c r="C3" s="35">
        <v>41603</v>
      </c>
      <c r="D3" s="16">
        <v>2</v>
      </c>
      <c r="E3" s="33">
        <v>1</v>
      </c>
      <c r="F3">
        <v>3</v>
      </c>
    </row>
    <row r="4" spans="1:6" x14ac:dyDescent="0.25">
      <c r="A4">
        <v>7</v>
      </c>
      <c r="B4" t="s">
        <v>180</v>
      </c>
      <c r="C4" s="35">
        <v>42462</v>
      </c>
      <c r="D4" s="16">
        <v>1</v>
      </c>
      <c r="E4" s="33">
        <v>1</v>
      </c>
      <c r="F4">
        <v>3</v>
      </c>
    </row>
    <row r="5" spans="1:6" x14ac:dyDescent="0.25">
      <c r="A5">
        <v>8</v>
      </c>
      <c r="B5" t="s">
        <v>181</v>
      </c>
      <c r="C5" s="35">
        <v>36689</v>
      </c>
      <c r="D5" s="16">
        <v>5</v>
      </c>
      <c r="E5" s="33">
        <v>1</v>
      </c>
      <c r="F5">
        <v>4</v>
      </c>
    </row>
    <row r="6" spans="1:6" x14ac:dyDescent="0.25">
      <c r="A6">
        <v>9</v>
      </c>
      <c r="B6" t="s">
        <v>182</v>
      </c>
      <c r="C6" s="35">
        <v>37871</v>
      </c>
      <c r="D6" s="16">
        <v>4</v>
      </c>
      <c r="E6" s="33">
        <v>1</v>
      </c>
      <c r="F6">
        <v>4</v>
      </c>
    </row>
    <row r="7" spans="1:6" x14ac:dyDescent="0.25">
      <c r="A7">
        <v>10</v>
      </c>
      <c r="B7" t="s">
        <v>183</v>
      </c>
      <c r="C7" s="35">
        <v>39446</v>
      </c>
      <c r="D7" s="16">
        <v>3</v>
      </c>
      <c r="E7" s="33">
        <v>1</v>
      </c>
      <c r="F7">
        <v>4</v>
      </c>
    </row>
    <row r="8" spans="1:6" x14ac:dyDescent="0.25">
      <c r="A8">
        <v>11</v>
      </c>
      <c r="B8" t="s">
        <v>184</v>
      </c>
      <c r="C8" s="35">
        <v>40252</v>
      </c>
      <c r="D8" s="16">
        <v>2</v>
      </c>
      <c r="E8" s="33">
        <v>1</v>
      </c>
      <c r="F8">
        <v>4</v>
      </c>
    </row>
    <row r="9" spans="1:6" x14ac:dyDescent="0.25">
      <c r="A9">
        <v>12</v>
      </c>
      <c r="B9" t="s">
        <v>185</v>
      </c>
      <c r="C9" s="35">
        <v>39489</v>
      </c>
      <c r="D9" s="16">
        <v>2</v>
      </c>
      <c r="E9" s="33">
        <v>1</v>
      </c>
      <c r="F9">
        <v>5</v>
      </c>
    </row>
    <row r="10" spans="1:6" x14ac:dyDescent="0.25">
      <c r="A10">
        <v>13</v>
      </c>
      <c r="B10" t="s">
        <v>186</v>
      </c>
      <c r="C10" s="35">
        <v>40722</v>
      </c>
      <c r="D10" s="16">
        <v>2</v>
      </c>
      <c r="E10" s="33">
        <v>1</v>
      </c>
      <c r="F10">
        <v>5</v>
      </c>
    </row>
    <row r="11" spans="1:6" x14ac:dyDescent="0.25">
      <c r="A11">
        <v>14</v>
      </c>
      <c r="B11" s="10" t="s">
        <v>187</v>
      </c>
      <c r="C11" s="35">
        <v>31152</v>
      </c>
      <c r="D11" s="32">
        <v>6</v>
      </c>
      <c r="E11" s="33">
        <v>1</v>
      </c>
      <c r="F11" s="10">
        <v>6</v>
      </c>
    </row>
    <row r="12" spans="1:6" x14ac:dyDescent="0.25">
      <c r="A12">
        <v>15</v>
      </c>
      <c r="B12" s="10" t="s">
        <v>188</v>
      </c>
      <c r="C12" s="35">
        <v>32347</v>
      </c>
      <c r="D12" s="32">
        <v>8</v>
      </c>
      <c r="E12" s="33">
        <v>1</v>
      </c>
      <c r="F12" s="10">
        <v>6</v>
      </c>
    </row>
    <row r="13" spans="1:6" x14ac:dyDescent="0.25">
      <c r="A13">
        <v>16</v>
      </c>
      <c r="B13" s="10" t="s">
        <v>189</v>
      </c>
      <c r="C13" s="35">
        <v>40461</v>
      </c>
      <c r="D13" s="32">
        <v>2</v>
      </c>
      <c r="E13" s="33">
        <v>2</v>
      </c>
      <c r="F13" s="10">
        <v>6</v>
      </c>
    </row>
    <row r="14" spans="1:6" x14ac:dyDescent="0.25">
      <c r="A14">
        <v>17</v>
      </c>
      <c r="B14" s="10" t="s">
        <v>190</v>
      </c>
      <c r="C14" s="35">
        <v>36057</v>
      </c>
      <c r="D14" s="32">
        <v>7</v>
      </c>
      <c r="E14" s="33">
        <v>7</v>
      </c>
      <c r="F14" s="10">
        <v>7</v>
      </c>
    </row>
    <row r="15" spans="1:6" x14ac:dyDescent="0.25">
      <c r="A15">
        <v>18</v>
      </c>
      <c r="B15" s="10" t="s">
        <v>191</v>
      </c>
      <c r="C15" s="35">
        <v>24911</v>
      </c>
      <c r="D15" s="32">
        <v>2</v>
      </c>
      <c r="E15" s="33">
        <v>4</v>
      </c>
      <c r="F15" s="10">
        <v>7</v>
      </c>
    </row>
    <row r="16" spans="1:6" x14ac:dyDescent="0.25">
      <c r="A16">
        <v>19</v>
      </c>
      <c r="B16" s="10" t="s">
        <v>192</v>
      </c>
      <c r="C16" s="35">
        <v>37230</v>
      </c>
      <c r="D16" s="32">
        <v>5</v>
      </c>
      <c r="E16" s="33">
        <v>7</v>
      </c>
      <c r="F16" s="10">
        <v>7</v>
      </c>
    </row>
    <row r="17" spans="1:6" x14ac:dyDescent="0.25">
      <c r="A17">
        <v>20</v>
      </c>
      <c r="B17" s="10" t="s">
        <v>193</v>
      </c>
      <c r="C17" s="35">
        <v>43181</v>
      </c>
      <c r="D17" s="32">
        <v>1</v>
      </c>
      <c r="E17" s="33">
        <v>9</v>
      </c>
      <c r="F17" s="10">
        <v>7</v>
      </c>
    </row>
    <row r="18" spans="1:6" x14ac:dyDescent="0.25">
      <c r="A18">
        <v>24</v>
      </c>
      <c r="B18" s="10" t="s">
        <v>197</v>
      </c>
      <c r="C18" s="35">
        <v>26613</v>
      </c>
      <c r="D18" s="32">
        <v>5</v>
      </c>
      <c r="E18" s="33">
        <v>1</v>
      </c>
      <c r="F18" s="10">
        <v>9</v>
      </c>
    </row>
    <row r="19" spans="1:6" x14ac:dyDescent="0.25">
      <c r="A19">
        <v>25</v>
      </c>
      <c r="B19" s="10" t="s">
        <v>198</v>
      </c>
      <c r="C19" s="35">
        <v>34867</v>
      </c>
      <c r="D19" s="32">
        <v>6</v>
      </c>
      <c r="E19" s="33">
        <v>2</v>
      </c>
      <c r="F19" s="10">
        <v>9</v>
      </c>
    </row>
    <row r="20" spans="1:6" x14ac:dyDescent="0.25">
      <c r="A20">
        <v>26</v>
      </c>
      <c r="B20" t="s">
        <v>199</v>
      </c>
      <c r="C20" s="35">
        <v>36042</v>
      </c>
      <c r="D20" s="16">
        <v>7</v>
      </c>
      <c r="E20" s="33">
        <v>2</v>
      </c>
      <c r="F20">
        <v>9</v>
      </c>
    </row>
    <row r="21" spans="1:6" x14ac:dyDescent="0.25">
      <c r="A21">
        <v>27</v>
      </c>
      <c r="B21" t="s">
        <v>200</v>
      </c>
      <c r="C21" s="35">
        <v>43144</v>
      </c>
      <c r="D21" s="16">
        <v>1</v>
      </c>
      <c r="E21" s="33">
        <v>3</v>
      </c>
      <c r="F21">
        <v>9</v>
      </c>
    </row>
    <row r="22" spans="1:6" x14ac:dyDescent="0.25">
      <c r="A22">
        <v>28</v>
      </c>
      <c r="B22" t="s">
        <v>201</v>
      </c>
      <c r="C22" s="35">
        <v>11441</v>
      </c>
      <c r="D22" s="16">
        <v>1</v>
      </c>
      <c r="E22" s="33">
        <v>5</v>
      </c>
      <c r="F22">
        <v>9</v>
      </c>
    </row>
    <row r="23" spans="1:6" x14ac:dyDescent="0.25">
      <c r="A23">
        <v>29</v>
      </c>
      <c r="B23" t="s">
        <v>202</v>
      </c>
      <c r="C23" s="35">
        <v>41104</v>
      </c>
      <c r="D23" s="16">
        <v>2</v>
      </c>
      <c r="E23" s="33">
        <v>1</v>
      </c>
      <c r="F23">
        <v>10</v>
      </c>
    </row>
    <row r="24" spans="1:6" x14ac:dyDescent="0.25">
      <c r="A24">
        <v>30</v>
      </c>
      <c r="B24" t="s">
        <v>203</v>
      </c>
      <c r="C24" s="35">
        <v>42280</v>
      </c>
      <c r="D24" s="16">
        <v>2</v>
      </c>
      <c r="E24" s="33">
        <v>1</v>
      </c>
      <c r="F24">
        <v>10</v>
      </c>
    </row>
    <row r="25" spans="1:6" x14ac:dyDescent="0.25">
      <c r="A25">
        <v>31</v>
      </c>
      <c r="B25" t="s">
        <v>204</v>
      </c>
      <c r="C25" s="35">
        <v>22515</v>
      </c>
      <c r="D25" s="16">
        <v>2</v>
      </c>
      <c r="E25" s="33">
        <v>4</v>
      </c>
      <c r="F25">
        <v>10</v>
      </c>
    </row>
    <row r="26" spans="1:6" x14ac:dyDescent="0.25">
      <c r="A26">
        <v>32</v>
      </c>
      <c r="B26" t="s">
        <v>205</v>
      </c>
      <c r="C26" s="35">
        <v>31196</v>
      </c>
      <c r="D26" s="16">
        <v>5</v>
      </c>
      <c r="E26" s="33">
        <v>12</v>
      </c>
      <c r="F26">
        <v>10</v>
      </c>
    </row>
    <row r="27" spans="1:6" x14ac:dyDescent="0.25">
      <c r="A27">
        <v>33</v>
      </c>
      <c r="B27" t="s">
        <v>206</v>
      </c>
      <c r="C27" s="36">
        <v>33308</v>
      </c>
      <c r="D27" s="16">
        <v>5</v>
      </c>
      <c r="E27" s="34">
        <v>12</v>
      </c>
      <c r="F27">
        <v>10</v>
      </c>
    </row>
    <row r="28" spans="1:6" x14ac:dyDescent="0.25">
      <c r="A28">
        <v>1</v>
      </c>
      <c r="B28" t="s">
        <v>257</v>
      </c>
      <c r="C28" s="35">
        <v>39345</v>
      </c>
      <c r="D28" s="16">
        <v>6</v>
      </c>
      <c r="E28" s="33">
        <v>2</v>
      </c>
      <c r="F28">
        <v>8</v>
      </c>
    </row>
    <row r="29" spans="1:6" x14ac:dyDescent="0.25">
      <c r="A29">
        <v>2</v>
      </c>
      <c r="B29" t="s">
        <v>257</v>
      </c>
      <c r="C29" s="35">
        <v>39345</v>
      </c>
      <c r="D29" s="16">
        <v>6</v>
      </c>
      <c r="E29" s="33">
        <v>2</v>
      </c>
      <c r="F29">
        <v>8</v>
      </c>
    </row>
    <row r="30" spans="1:6" x14ac:dyDescent="0.25">
      <c r="A30">
        <v>3</v>
      </c>
      <c r="B30" t="s">
        <v>257</v>
      </c>
      <c r="C30" s="35">
        <v>39345</v>
      </c>
      <c r="D30" s="16">
        <v>6</v>
      </c>
      <c r="E30" s="33">
        <v>2</v>
      </c>
      <c r="F30">
        <v>8</v>
      </c>
    </row>
    <row r="31" spans="1:6" x14ac:dyDescent="0.25">
      <c r="A31">
        <v>4</v>
      </c>
      <c r="B31" t="s">
        <v>257</v>
      </c>
      <c r="C31" s="35">
        <v>39345</v>
      </c>
      <c r="D31" s="16">
        <v>6</v>
      </c>
      <c r="E31" s="33">
        <v>2</v>
      </c>
      <c r="F31">
        <v>8</v>
      </c>
    </row>
    <row r="32" spans="1:6" x14ac:dyDescent="0.25">
      <c r="A32">
        <v>34</v>
      </c>
      <c r="B32" t="s">
        <v>257</v>
      </c>
      <c r="C32" s="35">
        <v>39345</v>
      </c>
      <c r="D32" s="16">
        <v>6</v>
      </c>
      <c r="E32" s="33">
        <v>2</v>
      </c>
      <c r="F32">
        <v>8</v>
      </c>
    </row>
    <row r="35" spans="1:8" x14ac:dyDescent="0.25">
      <c r="H35">
        <v>1</v>
      </c>
    </row>
    <row r="36" spans="1:8" x14ac:dyDescent="0.25">
      <c r="H36">
        <v>2</v>
      </c>
    </row>
    <row r="37" spans="1:8" x14ac:dyDescent="0.25">
      <c r="A37" s="31"/>
      <c r="B37" s="31"/>
      <c r="C37" s="31"/>
      <c r="D37" s="31"/>
      <c r="E37" s="31"/>
      <c r="F37" s="31"/>
      <c r="H37">
        <v>3</v>
      </c>
    </row>
    <row r="38" spans="1:8" x14ac:dyDescent="0.25">
      <c r="H38">
        <v>4</v>
      </c>
    </row>
    <row r="39" spans="1:8" x14ac:dyDescent="0.25">
      <c r="H39">
        <v>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workbookViewId="0">
      <selection activeCell="AC8" sqref="AC8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242</v>
      </c>
      <c r="AC1" t="s">
        <v>63</v>
      </c>
      <c r="AD1" t="s">
        <v>62</v>
      </c>
      <c r="AE1" s="16" t="s">
        <v>239</v>
      </c>
      <c r="AF1" s="16" t="s">
        <v>240</v>
      </c>
      <c r="AG1" t="s">
        <v>241</v>
      </c>
    </row>
    <row r="2" spans="1:47" x14ac:dyDescent="0.25">
      <c r="A2" t="s">
        <v>104</v>
      </c>
      <c r="B2" s="1">
        <v>28561</v>
      </c>
      <c r="C2" t="s">
        <v>1</v>
      </c>
      <c r="D2" t="s">
        <v>105</v>
      </c>
      <c r="E2" t="s">
        <v>8</v>
      </c>
      <c r="F2" t="s">
        <v>207</v>
      </c>
      <c r="G2" t="s">
        <v>106</v>
      </c>
      <c r="H2" t="s">
        <v>107</v>
      </c>
      <c r="I2" s="1">
        <v>27579</v>
      </c>
      <c r="J2" t="s">
        <v>1</v>
      </c>
      <c r="K2" t="s">
        <v>22</v>
      </c>
      <c r="L2" t="s">
        <v>9</v>
      </c>
      <c r="M2" t="s">
        <v>217</v>
      </c>
      <c r="N2" t="s">
        <v>108</v>
      </c>
      <c r="O2" t="s">
        <v>109</v>
      </c>
      <c r="P2">
        <v>45</v>
      </c>
      <c r="Q2" t="s">
        <v>110</v>
      </c>
      <c r="R2" t="s">
        <v>111</v>
      </c>
      <c r="S2" s="1">
        <v>45662</v>
      </c>
      <c r="T2" t="s">
        <v>112</v>
      </c>
      <c r="U2" t="b">
        <v>1</v>
      </c>
      <c r="V2" t="s">
        <v>113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174</v>
      </c>
      <c r="AD2" s="35">
        <v>38482</v>
      </c>
      <c r="AE2" s="16">
        <v>4</v>
      </c>
      <c r="AF2" s="33">
        <v>1</v>
      </c>
      <c r="AG2">
        <v>1</v>
      </c>
    </row>
    <row r="3" spans="1:47" x14ac:dyDescent="0.25">
      <c r="A3" t="s">
        <v>114</v>
      </c>
      <c r="B3" s="1">
        <v>24068</v>
      </c>
      <c r="C3" t="s">
        <v>5</v>
      </c>
      <c r="D3" t="s">
        <v>115</v>
      </c>
      <c r="E3" t="s">
        <v>11</v>
      </c>
      <c r="F3" t="s">
        <v>208</v>
      </c>
      <c r="G3" t="s">
        <v>116</v>
      </c>
      <c r="I3" s="1"/>
      <c r="O3" t="s">
        <v>117</v>
      </c>
      <c r="P3">
        <v>112</v>
      </c>
      <c r="Q3" t="s">
        <v>118</v>
      </c>
      <c r="R3" t="s">
        <v>119</v>
      </c>
      <c r="S3" s="1">
        <v>45665</v>
      </c>
      <c r="T3" t="s">
        <v>120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2</v>
      </c>
      <c r="AC3" t="s">
        <v>175</v>
      </c>
      <c r="AD3" s="35">
        <v>39682</v>
      </c>
      <c r="AE3" s="16">
        <v>3</v>
      </c>
      <c r="AF3" s="33">
        <v>1</v>
      </c>
      <c r="AG3">
        <v>2</v>
      </c>
    </row>
    <row r="4" spans="1:47" x14ac:dyDescent="0.25">
      <c r="A4" t="s">
        <v>121</v>
      </c>
      <c r="B4" s="1">
        <v>33054</v>
      </c>
      <c r="C4" t="s">
        <v>2</v>
      </c>
      <c r="D4" t="s">
        <v>122</v>
      </c>
      <c r="E4" t="s">
        <v>10</v>
      </c>
      <c r="F4" t="s">
        <v>209</v>
      </c>
      <c r="G4" t="s">
        <v>123</v>
      </c>
      <c r="I4" s="1"/>
      <c r="O4" t="s">
        <v>124</v>
      </c>
      <c r="P4">
        <v>230</v>
      </c>
      <c r="Q4" t="s">
        <v>125</v>
      </c>
      <c r="R4" t="s">
        <v>111</v>
      </c>
      <c r="S4" s="1">
        <v>45667</v>
      </c>
      <c r="T4" t="s">
        <v>112</v>
      </c>
      <c r="U4" t="b">
        <v>1</v>
      </c>
      <c r="V4" t="s">
        <v>126</v>
      </c>
      <c r="W4" t="s">
        <v>31</v>
      </c>
      <c r="X4">
        <v>4</v>
      </c>
      <c r="Y4">
        <v>3</v>
      </c>
      <c r="Z4" t="b">
        <v>0</v>
      </c>
      <c r="AB4">
        <v>3</v>
      </c>
      <c r="AC4" t="s">
        <v>176</v>
      </c>
      <c r="AD4" s="35">
        <v>40922</v>
      </c>
      <c r="AE4" s="16">
        <v>2</v>
      </c>
      <c r="AF4" s="33">
        <v>1</v>
      </c>
      <c r="AG4">
        <v>1</v>
      </c>
    </row>
    <row r="5" spans="1:47" x14ac:dyDescent="0.25">
      <c r="A5" t="s">
        <v>127</v>
      </c>
      <c r="B5" s="1">
        <v>25795</v>
      </c>
      <c r="C5" t="s">
        <v>1</v>
      </c>
      <c r="D5" t="s">
        <v>128</v>
      </c>
      <c r="E5" t="s">
        <v>11</v>
      </c>
      <c r="F5" t="s">
        <v>210</v>
      </c>
      <c r="G5" t="s">
        <v>129</v>
      </c>
      <c r="H5" t="s">
        <v>130</v>
      </c>
      <c r="I5" s="1">
        <v>26715</v>
      </c>
      <c r="J5" t="s">
        <v>1</v>
      </c>
      <c r="K5" t="s">
        <v>131</v>
      </c>
      <c r="L5" t="s">
        <v>9</v>
      </c>
      <c r="M5" t="s">
        <v>218</v>
      </c>
      <c r="N5" t="s">
        <v>132</v>
      </c>
      <c r="O5" t="s">
        <v>133</v>
      </c>
      <c r="P5">
        <v>78</v>
      </c>
      <c r="Q5" t="s">
        <v>134</v>
      </c>
      <c r="R5" t="s">
        <v>111</v>
      </c>
      <c r="S5" s="1">
        <v>45669</v>
      </c>
      <c r="T5" t="s">
        <v>135</v>
      </c>
      <c r="U5" t="b">
        <v>1</v>
      </c>
      <c r="V5" t="s">
        <v>113</v>
      </c>
      <c r="W5" t="s">
        <v>29</v>
      </c>
      <c r="X5">
        <v>6</v>
      </c>
      <c r="Y5">
        <v>4</v>
      </c>
      <c r="Z5" t="b">
        <v>1</v>
      </c>
      <c r="AB5">
        <v>4</v>
      </c>
      <c r="AC5" t="s">
        <v>177</v>
      </c>
      <c r="AD5" s="35">
        <v>34761</v>
      </c>
      <c r="AE5" s="16">
        <v>8</v>
      </c>
      <c r="AF5" s="33">
        <v>1</v>
      </c>
      <c r="AG5">
        <v>2</v>
      </c>
      <c r="AK5" s="1"/>
      <c r="AU5" s="1"/>
    </row>
    <row r="6" spans="1:47" x14ac:dyDescent="0.25">
      <c r="A6" t="s">
        <v>136</v>
      </c>
      <c r="B6" s="1">
        <v>30415</v>
      </c>
      <c r="C6" t="s">
        <v>4</v>
      </c>
      <c r="D6" t="s">
        <v>137</v>
      </c>
      <c r="E6" t="s">
        <v>11</v>
      </c>
      <c r="F6" t="s">
        <v>211</v>
      </c>
      <c r="G6" t="s">
        <v>138</v>
      </c>
      <c r="I6" s="1"/>
      <c r="O6" t="s">
        <v>139</v>
      </c>
      <c r="P6">
        <v>56</v>
      </c>
      <c r="Q6" t="s">
        <v>140</v>
      </c>
      <c r="R6" t="s">
        <v>141</v>
      </c>
      <c r="S6" s="1">
        <v>45671</v>
      </c>
      <c r="T6" t="s">
        <v>120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5</v>
      </c>
      <c r="AC6" t="s">
        <v>178</v>
      </c>
      <c r="AD6" s="35">
        <v>40377</v>
      </c>
      <c r="AE6" s="16">
        <v>2</v>
      </c>
      <c r="AF6" s="33">
        <v>1</v>
      </c>
      <c r="AG6">
        <v>3</v>
      </c>
      <c r="AU6" s="1"/>
    </row>
    <row r="7" spans="1:47" x14ac:dyDescent="0.25">
      <c r="A7" t="s">
        <v>142</v>
      </c>
      <c r="B7" s="1">
        <v>21537</v>
      </c>
      <c r="C7" t="s">
        <v>1</v>
      </c>
      <c r="D7" t="s">
        <v>115</v>
      </c>
      <c r="E7" t="s">
        <v>9</v>
      </c>
      <c r="F7" t="s">
        <v>212</v>
      </c>
      <c r="G7" t="s">
        <v>143</v>
      </c>
      <c r="H7" t="s">
        <v>144</v>
      </c>
      <c r="I7" s="1">
        <v>22549</v>
      </c>
      <c r="J7" t="s">
        <v>1</v>
      </c>
      <c r="K7" t="s">
        <v>145</v>
      </c>
      <c r="L7" t="s">
        <v>8</v>
      </c>
      <c r="M7" t="s">
        <v>219</v>
      </c>
      <c r="N7" t="s">
        <v>146</v>
      </c>
      <c r="O7" t="s">
        <v>147</v>
      </c>
      <c r="P7">
        <v>321</v>
      </c>
      <c r="Q7" t="s">
        <v>148</v>
      </c>
      <c r="R7" t="s">
        <v>111</v>
      </c>
      <c r="S7" s="1">
        <v>45672</v>
      </c>
      <c r="T7" t="s">
        <v>112</v>
      </c>
      <c r="U7" t="b">
        <v>1</v>
      </c>
      <c r="V7" t="s">
        <v>126</v>
      </c>
      <c r="W7" t="s">
        <v>29</v>
      </c>
      <c r="X7">
        <v>4</v>
      </c>
      <c r="Y7">
        <v>6</v>
      </c>
      <c r="Z7" t="b">
        <v>0</v>
      </c>
      <c r="AB7">
        <v>6</v>
      </c>
      <c r="AC7" t="s">
        <v>179</v>
      </c>
      <c r="AD7" s="35">
        <v>41603</v>
      </c>
      <c r="AE7" s="16">
        <v>2</v>
      </c>
      <c r="AF7" s="33">
        <v>1</v>
      </c>
      <c r="AG7">
        <v>3</v>
      </c>
      <c r="AU7" s="1"/>
    </row>
    <row r="8" spans="1:47" x14ac:dyDescent="0.25">
      <c r="A8" t="s">
        <v>149</v>
      </c>
      <c r="B8" s="1">
        <v>34733</v>
      </c>
      <c r="C8" t="s">
        <v>2</v>
      </c>
      <c r="D8" t="s">
        <v>150</v>
      </c>
      <c r="E8" t="s">
        <v>10</v>
      </c>
      <c r="F8" t="s">
        <v>213</v>
      </c>
      <c r="G8" t="s">
        <v>151</v>
      </c>
      <c r="I8" s="1"/>
      <c r="O8" t="s">
        <v>152</v>
      </c>
      <c r="P8">
        <v>89</v>
      </c>
      <c r="Q8" t="s">
        <v>153</v>
      </c>
      <c r="R8" t="s">
        <v>154</v>
      </c>
      <c r="S8" s="1">
        <v>45674</v>
      </c>
      <c r="T8" t="s">
        <v>135</v>
      </c>
      <c r="U8" t="b">
        <v>1</v>
      </c>
      <c r="V8" t="s">
        <v>113</v>
      </c>
      <c r="W8" t="s">
        <v>31</v>
      </c>
      <c r="X8">
        <v>5</v>
      </c>
      <c r="Y8">
        <v>7</v>
      </c>
      <c r="Z8" t="b">
        <v>1</v>
      </c>
      <c r="AB8">
        <v>7</v>
      </c>
      <c r="AC8" t="s">
        <v>180</v>
      </c>
      <c r="AD8" s="35">
        <v>42462</v>
      </c>
      <c r="AE8" s="16">
        <v>1</v>
      </c>
      <c r="AF8" s="33">
        <v>1</v>
      </c>
      <c r="AG8">
        <v>3</v>
      </c>
      <c r="AK8" s="1"/>
      <c r="AU8" s="1"/>
    </row>
    <row r="9" spans="1:47" x14ac:dyDescent="0.25">
      <c r="A9" t="s">
        <v>155</v>
      </c>
      <c r="B9" s="1">
        <v>29368</v>
      </c>
      <c r="C9" t="s">
        <v>1</v>
      </c>
      <c r="D9" t="s">
        <v>156</v>
      </c>
      <c r="E9" t="s">
        <v>11</v>
      </c>
      <c r="F9" t="s">
        <v>214</v>
      </c>
      <c r="G9" t="s">
        <v>157</v>
      </c>
      <c r="H9" t="s">
        <v>158</v>
      </c>
      <c r="I9" s="1">
        <v>30266</v>
      </c>
      <c r="J9" t="s">
        <v>1</v>
      </c>
      <c r="K9" t="s">
        <v>159</v>
      </c>
      <c r="L9" t="s">
        <v>11</v>
      </c>
      <c r="M9" t="s">
        <v>220</v>
      </c>
      <c r="N9" t="s">
        <v>160</v>
      </c>
      <c r="O9" t="s">
        <v>161</v>
      </c>
      <c r="P9">
        <v>15</v>
      </c>
      <c r="Q9" t="s">
        <v>162</v>
      </c>
      <c r="R9" t="s">
        <v>111</v>
      </c>
      <c r="S9" s="1">
        <v>45677</v>
      </c>
      <c r="T9" t="s">
        <v>120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8</v>
      </c>
      <c r="AC9" t="s">
        <v>181</v>
      </c>
      <c r="AD9" s="35">
        <v>36689</v>
      </c>
      <c r="AE9" s="16">
        <v>5</v>
      </c>
      <c r="AF9" s="33">
        <v>1</v>
      </c>
      <c r="AG9">
        <v>4</v>
      </c>
      <c r="AU9" s="1"/>
    </row>
    <row r="10" spans="1:47" x14ac:dyDescent="0.25">
      <c r="A10" t="s">
        <v>163</v>
      </c>
      <c r="B10" s="1">
        <v>18155</v>
      </c>
      <c r="C10" t="s">
        <v>5</v>
      </c>
      <c r="D10" t="s">
        <v>145</v>
      </c>
      <c r="E10" t="s">
        <v>8</v>
      </c>
      <c r="F10" t="s">
        <v>215</v>
      </c>
      <c r="G10" t="s">
        <v>164</v>
      </c>
      <c r="I10" s="1"/>
      <c r="O10" t="s">
        <v>165</v>
      </c>
      <c r="P10">
        <v>204</v>
      </c>
      <c r="Q10" t="s">
        <v>166</v>
      </c>
      <c r="R10" t="s">
        <v>119</v>
      </c>
      <c r="S10" s="1">
        <v>45679</v>
      </c>
      <c r="T10" t="s">
        <v>112</v>
      </c>
      <c r="U10" t="b">
        <v>1</v>
      </c>
      <c r="V10" t="s">
        <v>126</v>
      </c>
      <c r="W10" t="s">
        <v>29</v>
      </c>
      <c r="X10">
        <v>1</v>
      </c>
      <c r="Y10">
        <v>9</v>
      </c>
      <c r="Z10" t="b">
        <v>1</v>
      </c>
      <c r="AB10">
        <v>9</v>
      </c>
      <c r="AC10" t="s">
        <v>182</v>
      </c>
      <c r="AD10" s="35">
        <v>37871</v>
      </c>
      <c r="AE10" s="16">
        <v>4</v>
      </c>
      <c r="AF10" s="33">
        <v>1</v>
      </c>
      <c r="AG10">
        <v>4</v>
      </c>
      <c r="AK10" s="1"/>
      <c r="AU10" s="1"/>
    </row>
    <row r="11" spans="1:47" x14ac:dyDescent="0.25">
      <c r="A11" t="s">
        <v>167</v>
      </c>
      <c r="B11" s="1">
        <v>31965</v>
      </c>
      <c r="C11" t="s">
        <v>1</v>
      </c>
      <c r="D11" t="s">
        <v>25</v>
      </c>
      <c r="E11" t="s">
        <v>11</v>
      </c>
      <c r="F11" t="s">
        <v>216</v>
      </c>
      <c r="G11" t="s">
        <v>168</v>
      </c>
      <c r="H11" t="s">
        <v>169</v>
      </c>
      <c r="I11" s="1">
        <v>32586</v>
      </c>
      <c r="J11" t="s">
        <v>1</v>
      </c>
      <c r="K11" t="s">
        <v>170</v>
      </c>
      <c r="L11" t="s">
        <v>11</v>
      </c>
      <c r="M11" t="s">
        <v>221</v>
      </c>
      <c r="N11" t="s">
        <v>171</v>
      </c>
      <c r="O11" t="s">
        <v>172</v>
      </c>
      <c r="P11">
        <v>67</v>
      </c>
      <c r="Q11" t="s">
        <v>173</v>
      </c>
      <c r="R11" t="s">
        <v>111</v>
      </c>
      <c r="S11" s="1">
        <v>45681</v>
      </c>
      <c r="T11" t="s">
        <v>135</v>
      </c>
      <c r="U11" t="b">
        <v>1</v>
      </c>
      <c r="V11" t="s">
        <v>113</v>
      </c>
      <c r="W11" t="s">
        <v>30</v>
      </c>
      <c r="X11">
        <v>5</v>
      </c>
      <c r="Y11">
        <v>10</v>
      </c>
      <c r="Z11" t="b">
        <v>1</v>
      </c>
      <c r="AB11">
        <v>10</v>
      </c>
      <c r="AC11" t="s">
        <v>183</v>
      </c>
      <c r="AD11" s="35">
        <v>39446</v>
      </c>
      <c r="AE11" s="16">
        <v>3</v>
      </c>
      <c r="AF11" s="33">
        <v>1</v>
      </c>
      <c r="AG11">
        <v>4</v>
      </c>
      <c r="AU11" s="1"/>
    </row>
    <row r="12" spans="1:47" x14ac:dyDescent="0.25">
      <c r="AB12">
        <v>11</v>
      </c>
      <c r="AC12" t="s">
        <v>184</v>
      </c>
      <c r="AD12" s="35">
        <v>40252</v>
      </c>
      <c r="AE12" s="16">
        <v>2</v>
      </c>
      <c r="AF12" s="33">
        <v>1</v>
      </c>
      <c r="AG12">
        <v>4</v>
      </c>
      <c r="AK12" s="1"/>
      <c r="AU12" s="1"/>
    </row>
    <row r="13" spans="1:47" x14ac:dyDescent="0.25">
      <c r="AB13">
        <v>12</v>
      </c>
      <c r="AC13" t="s">
        <v>185</v>
      </c>
      <c r="AD13" s="35">
        <v>39489</v>
      </c>
      <c r="AE13" s="16">
        <v>2</v>
      </c>
      <c r="AF13" s="33">
        <v>1</v>
      </c>
      <c r="AG13">
        <v>5</v>
      </c>
      <c r="AU13" s="1"/>
    </row>
    <row r="14" spans="1:47" x14ac:dyDescent="0.25">
      <c r="AB14">
        <v>13</v>
      </c>
      <c r="AC14" t="s">
        <v>186</v>
      </c>
      <c r="AD14" s="35">
        <v>40722</v>
      </c>
      <c r="AE14" s="16">
        <v>2</v>
      </c>
      <c r="AF14" s="33">
        <v>1</v>
      </c>
      <c r="AG14">
        <v>5</v>
      </c>
      <c r="AK14" s="1"/>
      <c r="AU14" s="1"/>
    </row>
    <row r="15" spans="1:47" x14ac:dyDescent="0.25">
      <c r="AB15">
        <v>14</v>
      </c>
      <c r="AC15" s="10" t="s">
        <v>187</v>
      </c>
      <c r="AD15" s="35">
        <v>31152</v>
      </c>
      <c r="AE15" s="32">
        <v>6</v>
      </c>
      <c r="AF15" s="33">
        <v>1</v>
      </c>
      <c r="AG15" s="10">
        <v>6</v>
      </c>
    </row>
    <row r="16" spans="1:47" x14ac:dyDescent="0.25">
      <c r="AB16">
        <v>15</v>
      </c>
      <c r="AC16" s="10" t="s">
        <v>188</v>
      </c>
      <c r="AD16" s="35">
        <v>32347</v>
      </c>
      <c r="AE16" s="32">
        <v>8</v>
      </c>
      <c r="AF16" s="33">
        <v>1</v>
      </c>
      <c r="AG16" s="10">
        <v>6</v>
      </c>
    </row>
    <row r="17" spans="28:33" x14ac:dyDescent="0.25">
      <c r="AB17">
        <v>16</v>
      </c>
      <c r="AC17" s="10" t="s">
        <v>189</v>
      </c>
      <c r="AD17" s="35">
        <v>40461</v>
      </c>
      <c r="AE17" s="32">
        <v>2</v>
      </c>
      <c r="AF17" s="33">
        <v>2</v>
      </c>
      <c r="AG17" s="10">
        <v>6</v>
      </c>
    </row>
    <row r="18" spans="28:33" x14ac:dyDescent="0.25">
      <c r="AB18">
        <v>17</v>
      </c>
      <c r="AC18" s="10" t="s">
        <v>190</v>
      </c>
      <c r="AD18" s="35">
        <v>36057</v>
      </c>
      <c r="AE18" s="32">
        <v>7</v>
      </c>
      <c r="AF18" s="33">
        <v>7</v>
      </c>
      <c r="AG18" s="10">
        <v>7</v>
      </c>
    </row>
    <row r="19" spans="28:33" x14ac:dyDescent="0.25">
      <c r="AB19">
        <v>18</v>
      </c>
      <c r="AC19" s="10" t="s">
        <v>191</v>
      </c>
      <c r="AD19" s="35">
        <v>24911</v>
      </c>
      <c r="AE19" s="32">
        <v>2</v>
      </c>
      <c r="AF19" s="33">
        <v>4</v>
      </c>
      <c r="AG19" s="10">
        <v>7</v>
      </c>
    </row>
    <row r="20" spans="28:33" x14ac:dyDescent="0.25">
      <c r="AB20">
        <v>19</v>
      </c>
      <c r="AC20" s="10" t="s">
        <v>192</v>
      </c>
      <c r="AD20" s="35">
        <v>37230</v>
      </c>
      <c r="AE20" s="32">
        <v>5</v>
      </c>
      <c r="AF20" s="33">
        <v>7</v>
      </c>
      <c r="AG20" s="10">
        <v>7</v>
      </c>
    </row>
    <row r="21" spans="28:33" x14ac:dyDescent="0.25">
      <c r="AB21">
        <v>20</v>
      </c>
      <c r="AC21" s="10" t="s">
        <v>193</v>
      </c>
      <c r="AD21" s="35">
        <v>43181</v>
      </c>
      <c r="AE21" s="32">
        <v>1</v>
      </c>
      <c r="AF21" s="33">
        <v>9</v>
      </c>
      <c r="AG21" s="10">
        <v>7</v>
      </c>
    </row>
    <row r="22" spans="28:33" x14ac:dyDescent="0.25">
      <c r="AB22">
        <v>21</v>
      </c>
      <c r="AC22" s="10" t="s">
        <v>194</v>
      </c>
      <c r="AD22" s="35">
        <v>39546</v>
      </c>
      <c r="AE22" s="32">
        <v>3</v>
      </c>
      <c r="AF22" s="33">
        <v>1</v>
      </c>
      <c r="AG22" s="10">
        <v>8</v>
      </c>
    </row>
    <row r="23" spans="28:33" x14ac:dyDescent="0.25">
      <c r="AB23">
        <v>22</v>
      </c>
      <c r="AC23" s="10" t="s">
        <v>195</v>
      </c>
      <c r="AD23" s="35">
        <v>40574</v>
      </c>
      <c r="AE23" s="32">
        <v>2</v>
      </c>
      <c r="AF23" s="33">
        <v>1</v>
      </c>
      <c r="AG23" s="10">
        <v>8</v>
      </c>
    </row>
    <row r="24" spans="28:33" x14ac:dyDescent="0.25">
      <c r="AB24">
        <v>23</v>
      </c>
      <c r="AC24" s="10" t="s">
        <v>196</v>
      </c>
      <c r="AD24" s="35">
        <v>20242</v>
      </c>
      <c r="AE24" s="32">
        <v>2</v>
      </c>
      <c r="AF24" s="33">
        <v>4</v>
      </c>
      <c r="AG24" s="10">
        <v>8</v>
      </c>
    </row>
    <row r="25" spans="28:33" x14ac:dyDescent="0.25">
      <c r="AB25">
        <v>24</v>
      </c>
      <c r="AC25" s="10" t="s">
        <v>197</v>
      </c>
      <c r="AD25" s="35">
        <v>26613</v>
      </c>
      <c r="AE25" s="32">
        <v>5</v>
      </c>
      <c r="AF25" s="33">
        <v>1</v>
      </c>
      <c r="AG25" s="10">
        <v>9</v>
      </c>
    </row>
    <row r="26" spans="28:33" x14ac:dyDescent="0.25">
      <c r="AB26">
        <v>25</v>
      </c>
      <c r="AC26" s="10" t="s">
        <v>198</v>
      </c>
      <c r="AD26" s="35">
        <v>34867</v>
      </c>
      <c r="AE26" s="32">
        <v>6</v>
      </c>
      <c r="AF26" s="33">
        <v>2</v>
      </c>
      <c r="AG26" s="10">
        <v>9</v>
      </c>
    </row>
    <row r="27" spans="28:33" x14ac:dyDescent="0.25">
      <c r="AB27">
        <v>26</v>
      </c>
      <c r="AC27" t="s">
        <v>199</v>
      </c>
      <c r="AD27" s="35">
        <v>36042</v>
      </c>
      <c r="AE27" s="16">
        <v>7</v>
      </c>
      <c r="AF27" s="33">
        <v>2</v>
      </c>
      <c r="AG27">
        <v>9</v>
      </c>
    </row>
    <row r="28" spans="28:33" x14ac:dyDescent="0.25">
      <c r="AB28">
        <v>27</v>
      </c>
      <c r="AC28" t="s">
        <v>200</v>
      </c>
      <c r="AD28" s="35">
        <v>43144</v>
      </c>
      <c r="AE28" s="16">
        <v>1</v>
      </c>
      <c r="AF28" s="33">
        <v>3</v>
      </c>
      <c r="AG28">
        <v>9</v>
      </c>
    </row>
    <row r="29" spans="28:33" x14ac:dyDescent="0.25">
      <c r="AB29">
        <v>28</v>
      </c>
      <c r="AC29" t="s">
        <v>201</v>
      </c>
      <c r="AD29" s="35">
        <v>11441</v>
      </c>
      <c r="AE29" s="16">
        <v>1</v>
      </c>
      <c r="AF29" s="33">
        <v>5</v>
      </c>
      <c r="AG29">
        <v>9</v>
      </c>
    </row>
    <row r="30" spans="28:33" x14ac:dyDescent="0.25">
      <c r="AB30">
        <v>29</v>
      </c>
      <c r="AC30" t="s">
        <v>202</v>
      </c>
      <c r="AD30" s="35">
        <v>41104</v>
      </c>
      <c r="AE30" s="16">
        <v>2</v>
      </c>
      <c r="AF30" s="33">
        <v>1</v>
      </c>
      <c r="AG30">
        <v>10</v>
      </c>
    </row>
    <row r="31" spans="28:33" x14ac:dyDescent="0.25">
      <c r="AB31">
        <v>30</v>
      </c>
      <c r="AC31" t="s">
        <v>203</v>
      </c>
      <c r="AD31" s="35">
        <v>42280</v>
      </c>
      <c r="AE31" s="16">
        <v>2</v>
      </c>
      <c r="AF31" s="33">
        <v>1</v>
      </c>
      <c r="AG31">
        <v>10</v>
      </c>
    </row>
    <row r="32" spans="28:33" x14ac:dyDescent="0.25">
      <c r="AB32">
        <v>31</v>
      </c>
      <c r="AC32" t="s">
        <v>204</v>
      </c>
      <c r="AD32" s="35">
        <v>22515</v>
      </c>
      <c r="AE32" s="16">
        <v>2</v>
      </c>
      <c r="AF32" s="33">
        <v>4</v>
      </c>
      <c r="AG32">
        <v>10</v>
      </c>
    </row>
    <row r="33" spans="28:33" x14ac:dyDescent="0.25">
      <c r="AB33">
        <v>32</v>
      </c>
      <c r="AC33" t="s">
        <v>205</v>
      </c>
      <c r="AD33" s="35">
        <v>31196</v>
      </c>
      <c r="AE33" s="16">
        <v>5</v>
      </c>
      <c r="AF33" s="33">
        <v>12</v>
      </c>
      <c r="AG33">
        <v>10</v>
      </c>
    </row>
    <row r="34" spans="28:33" x14ac:dyDescent="0.25">
      <c r="AB34">
        <v>33</v>
      </c>
      <c r="AC34" t="s">
        <v>206</v>
      </c>
      <c r="AD34" s="36">
        <v>33308</v>
      </c>
      <c r="AE34" s="16">
        <v>5</v>
      </c>
      <c r="AF34" s="34">
        <v>12</v>
      </c>
      <c r="AG34">
        <v>10</v>
      </c>
    </row>
    <row r="35" spans="28:33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activeCell="A4" sqref="A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101</v>
      </c>
    </row>
    <row r="13" spans="1:1" x14ac:dyDescent="0.25">
      <c r="A13" t="s">
        <v>102</v>
      </c>
    </row>
    <row r="14" spans="1:1" x14ac:dyDescent="0.25">
      <c r="A14" t="s">
        <v>103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44" t="s">
        <v>69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</row>
    <row r="5" spans="1:77" x14ac:dyDescent="0.25">
      <c r="A5" s="12" t="s">
        <v>65</v>
      </c>
      <c r="B5" s="6"/>
      <c r="C5" s="6"/>
      <c r="D5" s="6"/>
      <c r="E5" s="6"/>
      <c r="F5" s="50" t="s">
        <v>142</v>
      </c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</row>
    <row r="6" spans="1:77" x14ac:dyDescent="0.25">
      <c r="A6" s="12" t="s">
        <v>66</v>
      </c>
      <c r="B6" s="5"/>
      <c r="C6" s="6"/>
      <c r="D6" s="6"/>
      <c r="E6" s="6"/>
      <c r="F6" s="5"/>
      <c r="G6" s="6"/>
      <c r="H6" s="6"/>
      <c r="I6" s="6"/>
      <c r="J6" s="6"/>
      <c r="K6" s="5"/>
      <c r="P6" s="52" t="str">
        <f>IFERROR(VLOOKUP(NomeAssistido,CADASTROS[],MATCH("DataNascimentoAssistido",CADASTROS[#Headers],0),0), "------")</f>
        <v>------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12" t="s">
        <v>67</v>
      </c>
      <c r="AW6" s="51" t="str">
        <f>IFERROR(VLOOKUP(NomeAssistido, CADASTROS[], MATCH("EstadoCivilAssistido", CADASTROS[#Headers], 0), 0), "------")</f>
        <v>------</v>
      </c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</row>
    <row r="7" spans="1:77" x14ac:dyDescent="0.25">
      <c r="A7" s="12" t="s">
        <v>64</v>
      </c>
      <c r="B7" s="6"/>
      <c r="C7" s="6"/>
      <c r="D7" s="6"/>
      <c r="E7" s="6"/>
      <c r="G7" s="6"/>
      <c r="H7" s="6"/>
      <c r="I7" s="50" t="str">
        <f>IFERROR(VLOOKUP(NomeAssistido, CADASTROS[], MATCH("ProfissaoAssistido", CADASTROS[#Headers],0), 0), "------")</f>
        <v>------</v>
      </c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12" t="s">
        <v>68</v>
      </c>
      <c r="AX7" s="51" t="str">
        <f>IFERROR(VLOOKUP(NomeAssistido, CADASTROS[], MATCH("EscolaridadeAssistido", CADASTROS[#Headers], 0), 0), "------")</f>
        <v>------</v>
      </c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1"/>
      <c r="BO7" s="51"/>
      <c r="BP7" s="51"/>
      <c r="BQ7" s="51"/>
      <c r="BR7" s="51"/>
      <c r="BS7" s="51"/>
      <c r="BT7" s="51"/>
      <c r="BU7" s="51"/>
      <c r="BV7" s="51"/>
      <c r="BW7" s="51"/>
      <c r="BX7" s="51"/>
      <c r="BY7" s="51"/>
    </row>
    <row r="8" spans="1:77" x14ac:dyDescent="0.25">
      <c r="A8" s="13" t="s">
        <v>76</v>
      </c>
      <c r="B8" s="6"/>
      <c r="C8" s="6"/>
      <c r="D8" s="6"/>
      <c r="E8" s="48" t="str">
        <f>IFERROR(VLOOKUP(NomeAssistido, CADASTROS[], MATCH("CPFAssistido", CADASTROS[#Headers],0), 0), "------")</f>
        <v>------</v>
      </c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12" t="s">
        <v>77</v>
      </c>
      <c r="AU8" s="49" t="str">
        <f>IFERROR(VLOOKUP(NomeAssistido, CADASTROS[], MATCH("TelefoneAssistido", CADASTROS[#Headers], 0), 0), "------")</f>
        <v>------</v>
      </c>
      <c r="AV8" s="49"/>
      <c r="AW8" s="49"/>
      <c r="AX8" s="49"/>
      <c r="AY8" s="49"/>
      <c r="AZ8" s="49"/>
      <c r="BA8" s="49"/>
      <c r="BB8" s="49"/>
      <c r="BC8" s="49"/>
      <c r="BD8" s="49"/>
      <c r="BE8" s="49"/>
      <c r="BF8" s="49"/>
      <c r="BG8" s="49"/>
      <c r="BH8" s="49"/>
      <c r="BI8" s="49"/>
      <c r="BJ8" s="49"/>
      <c r="BK8" s="49"/>
      <c r="BL8" s="49"/>
      <c r="BM8" s="49"/>
      <c r="BN8" s="49"/>
      <c r="BO8" s="49"/>
      <c r="BP8" s="49"/>
      <c r="BQ8" s="49"/>
      <c r="BR8" s="49"/>
      <c r="BS8" s="49"/>
      <c r="BT8" s="49"/>
      <c r="BU8" s="49"/>
      <c r="BV8" s="49"/>
      <c r="BW8" s="49"/>
      <c r="BX8" s="49"/>
      <c r="BY8" s="49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44" t="s">
        <v>100</v>
      </c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</row>
    <row r="11" spans="1:77" x14ac:dyDescent="0.25">
      <c r="A11" s="12" t="s">
        <v>65</v>
      </c>
      <c r="B11" s="6"/>
      <c r="C11" s="6"/>
      <c r="D11" s="6"/>
      <c r="E11" s="6"/>
      <c r="F11" s="50" t="str">
        <f>IFERROR(VLOOKUP(NomeAssistido, CADASTROS[], MATCH("NomeConjuge", CADASTROS[#Headers], 0), 0), "------")</f>
        <v>------</v>
      </c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</row>
    <row r="12" spans="1:77" x14ac:dyDescent="0.25">
      <c r="A12" s="12" t="s">
        <v>66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52" t="str">
        <f>IFERROR(VLOOKUP(NomeAssistido, CADASTROS[], MATCH("DataNascimentoConjuge", CADASTROS[#Headers], 0), 0), "------")</f>
        <v>------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12" t="s">
        <v>67</v>
      </c>
      <c r="AW12" s="50" t="str">
        <f>IFERROR(VLOOKUP(NomeAssistido, CADASTROS[], MATCH("EstadoCivilConjuge", CADASTROS[#Headers], 0), 0), "------")</f>
        <v>------</v>
      </c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</row>
    <row r="13" spans="1:77" x14ac:dyDescent="0.25">
      <c r="A13" s="12" t="s">
        <v>64</v>
      </c>
      <c r="B13" s="6"/>
      <c r="C13" s="6"/>
      <c r="D13" s="6"/>
      <c r="E13" s="6"/>
      <c r="G13" s="6"/>
      <c r="H13" s="6"/>
      <c r="I13" s="50" t="str">
        <f>IFERROR(VLOOKUP(NomeAssistido, CADASTROS[], MATCH("ProfissaoConjuge", CADASTROS[#Headers], 0), 0), "------")</f>
        <v>------</v>
      </c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12" t="s">
        <v>68</v>
      </c>
      <c r="AX13" s="50" t="str">
        <f>IFERROR(VLOOKUP(NomeAssistido, CADASTROS[], MATCH("EscolaridadeConjuge", CADASTROS[#Headers], 0), 0), "------")</f>
        <v>------</v>
      </c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</row>
    <row r="14" spans="1:77" x14ac:dyDescent="0.25">
      <c r="A14" s="13" t="s">
        <v>76</v>
      </c>
      <c r="B14" s="6"/>
      <c r="C14" s="6"/>
      <c r="D14" s="6"/>
      <c r="E14" s="48" t="str">
        <f>IFERROR(VLOOKUP(NomeAssistido, CADASTROS[], MATCH("CPFConjuge", CADASTROS[#Headers], 0), 0), "------")</f>
        <v>------</v>
      </c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12" t="s">
        <v>77</v>
      </c>
      <c r="AU14" s="49" t="str">
        <f>IFERROR(VLOOKUP(NomeAssistido, CADASTROS[], MATCH("TelefoneConjuge", CADASTROS[#Headers], 0), 0), "------")</f>
        <v>------</v>
      </c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49"/>
      <c r="BQ14" s="49"/>
      <c r="BR14" s="49"/>
      <c r="BS14" s="49"/>
      <c r="BT14" s="49"/>
      <c r="BU14" s="49"/>
      <c r="BV14" s="49"/>
      <c r="BW14" s="49"/>
      <c r="BX14" s="49"/>
      <c r="BY14" s="49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44" t="s">
        <v>81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</row>
    <row r="17" spans="1:77" x14ac:dyDescent="0.25">
      <c r="B17" s="2"/>
      <c r="C17" s="2"/>
      <c r="D17" s="2"/>
      <c r="E17" s="9" t="s">
        <v>70</v>
      </c>
      <c r="F17" s="2"/>
      <c r="G17" s="2"/>
      <c r="H17" s="2"/>
      <c r="I17" s="2"/>
      <c r="J17" s="2"/>
      <c r="AW17" s="15" t="s">
        <v>78</v>
      </c>
    </row>
    <row r="18" spans="1:77" x14ac:dyDescent="0.25">
      <c r="B18" t="s">
        <v>71</v>
      </c>
      <c r="C18" s="14" t="str">
        <f>IFERROR(IF(VLOOKUP(NomeAssistido, CADASTROS[], MATCH("ParticipaProgGov?", CADASTROS[#Headers], 0), 0), "X", ""), "-")</f>
        <v>-</v>
      </c>
      <c r="D18" t="s">
        <v>72</v>
      </c>
      <c r="E18" s="15" t="s">
        <v>73</v>
      </c>
      <c r="I18" t="s">
        <v>71</v>
      </c>
      <c r="J18" s="14" t="str">
        <f>IF($C$18 = "X", "", IF($C$18 ="-", "-", "X"))</f>
        <v>-</v>
      </c>
      <c r="K18" t="s">
        <v>72</v>
      </c>
      <c r="L18" s="15" t="s">
        <v>74</v>
      </c>
      <c r="P18" s="9" t="s">
        <v>75</v>
      </c>
      <c r="U18" s="21" t="str">
        <f>IFERROR(VLOOKUP(NomeAssistido, CADASTROS[], MATCH("ProgGov", CADASTROS[#Headers], 0), 0), "------")</f>
        <v>------</v>
      </c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2"/>
      <c r="AW18" s="22"/>
      <c r="AX18" s="22"/>
      <c r="AY18" s="22"/>
      <c r="AZ18" s="22"/>
      <c r="BA18" s="22"/>
      <c r="BB18" s="22"/>
      <c r="BC18" t="s">
        <v>71</v>
      </c>
      <c r="BD18" s="14" t="str">
        <f>IFERROR(IF(VLOOKUP(NomeAssistido, CADASTROS[], MATCH("RecebeCesta?", CADASTROS[#Headers], 0), 0), "X", ""), "-")</f>
        <v>-</v>
      </c>
      <c r="BE18" t="s">
        <v>72</v>
      </c>
      <c r="BF18" s="15" t="s">
        <v>73</v>
      </c>
      <c r="BJ18" t="s">
        <v>71</v>
      </c>
      <c r="BK18" s="14" t="str">
        <f>IF($BD$18 = "X", "", IF($BD$18= "-", "-", "X"))</f>
        <v>-</v>
      </c>
      <c r="BL18" t="s">
        <v>72</v>
      </c>
      <c r="BM18" s="15" t="s">
        <v>74</v>
      </c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</row>
    <row r="19" spans="1:77" ht="9.75" customHeight="1" x14ac:dyDescent="0.25"/>
    <row r="20" spans="1:77" x14ac:dyDescent="0.25">
      <c r="A20" s="15" t="s">
        <v>79</v>
      </c>
      <c r="M20" s="43" t="str">
        <f>IFERROR(VLOOKUP(NomeAssistido, CADASTROS[], MATCH("TipoMoradia", CADASTROS[#Headers], 0), 0), "------")</f>
        <v>------</v>
      </c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Q20" s="15" t="s">
        <v>80</v>
      </c>
      <c r="BP20" s="43" t="str">
        <f>IFERROR(VLOOKUP(NomeAssistido, CADASTROS[], MATCH("NPessoas", CADASTROS[#Headers], 0), 0), "------")</f>
        <v>------</v>
      </c>
      <c r="BQ20" s="43"/>
      <c r="BR20" s="43"/>
      <c r="BS20" s="43"/>
      <c r="BT20" s="43"/>
      <c r="BU20" s="43"/>
      <c r="BV20" s="43"/>
      <c r="BW20" s="43"/>
      <c r="BX20" s="43"/>
      <c r="BY20" s="43"/>
    </row>
    <row r="21" spans="1:77" ht="8.25" customHeight="1" x14ac:dyDescent="0.25"/>
    <row r="22" spans="1:77" x14ac:dyDescent="0.25">
      <c r="A22" s="12" t="s">
        <v>65</v>
      </c>
      <c r="B22" s="6"/>
      <c r="C22" s="6"/>
      <c r="D22" s="6"/>
      <c r="E22" s="6"/>
      <c r="F22" s="47" t="str" cm="1">
        <f t="array" ref="F22">IFERROR(PROCINDICE(PARENTES[#All], keyParentes, "NomeParente", 1), "------")</f>
        <v>------</v>
      </c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12" t="s">
        <v>66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46" t="str" cm="1">
        <f t="array" ref="BK22">IFERROR(PROCINDICE(PARENTES[#All], keyParentes, "DataNascimentoParente", 1), "------")</f>
        <v>------</v>
      </c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</row>
    <row r="23" spans="1:77" x14ac:dyDescent="0.25">
      <c r="A23" s="12" t="s">
        <v>68</v>
      </c>
      <c r="B23" s="5"/>
      <c r="C23" s="6"/>
      <c r="D23" s="6"/>
      <c r="E23" s="6"/>
      <c r="F23" s="5"/>
      <c r="G23" s="6"/>
      <c r="H23" s="6"/>
      <c r="I23" s="6"/>
      <c r="J23" s="6"/>
      <c r="K23" s="45" t="str" cm="1">
        <f t="array" ref="K23">IFERROR(PROCINDICE(PARENTES[#All], keyParentes, "EscolaridadeParente", 1), "------")</f>
        <v>------</v>
      </c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12" t="s">
        <v>82</v>
      </c>
      <c r="AW23" s="6"/>
      <c r="AX23" s="6"/>
      <c r="AY23" s="6"/>
      <c r="AZ23" s="6"/>
      <c r="BA23" s="6"/>
      <c r="BB23" s="6"/>
      <c r="BC23" s="6"/>
      <c r="BD23" s="6"/>
      <c r="BE23" s="47" t="str" cm="1">
        <f t="array" ref="BE23">IFERROR(PROCINDICE(PARENTES[#All], keyParentes, "GrauParentescoParente", 1), "------")</f>
        <v>------</v>
      </c>
      <c r="BF23" s="47"/>
      <c r="BG23" s="47"/>
      <c r="BH23" s="47"/>
      <c r="BI23" s="47"/>
      <c r="BJ23" s="47"/>
      <c r="BK23" s="47"/>
      <c r="BL23" s="47"/>
      <c r="BM23" s="47"/>
      <c r="BN23" s="47"/>
      <c r="BO23" s="47"/>
      <c r="BP23" s="47"/>
      <c r="BQ23" s="47"/>
      <c r="BR23" s="47"/>
      <c r="BS23" s="47"/>
      <c r="BT23" s="47"/>
      <c r="BU23" s="47"/>
      <c r="BV23" s="47"/>
      <c r="BW23" s="47"/>
      <c r="BX23" s="47"/>
      <c r="BY23" s="47"/>
    </row>
    <row r="24" spans="1:77" s="10" customFormat="1" ht="5.85" customHeight="1" x14ac:dyDescent="0.25"/>
    <row r="25" spans="1:77" x14ac:dyDescent="0.25">
      <c r="A25" s="12" t="s">
        <v>65</v>
      </c>
      <c r="B25" s="6"/>
      <c r="C25" s="6"/>
      <c r="D25" s="6"/>
      <c r="E25" s="6"/>
      <c r="F25" s="47" t="str" cm="1">
        <f t="array" ref="F25">IFERROR(PROCINDICE(PARENTES[#All], keyParentes, "NomeParente", 2), "------")</f>
        <v>------</v>
      </c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12" t="s">
        <v>66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46" t="str" cm="1">
        <f t="array" ref="BK25">IFERROR(PROCINDICE(PARENTES[#All], keyParentes, "DataNascimentoParente", 2), "------")</f>
        <v>------</v>
      </c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</row>
    <row r="26" spans="1:77" x14ac:dyDescent="0.25">
      <c r="A26" s="12" t="s">
        <v>68</v>
      </c>
      <c r="B26" s="5"/>
      <c r="C26" s="6"/>
      <c r="D26" s="6"/>
      <c r="E26" s="6"/>
      <c r="F26" s="5"/>
      <c r="G26" s="6"/>
      <c r="H26" s="6"/>
      <c r="I26" s="6"/>
      <c r="J26" s="6"/>
      <c r="K26" s="45" t="str" cm="1">
        <f t="array" ref="K26">IFERROR(PROCINDICE(PARENTES[#All], keyParentes, "EscolaridadeParente", 2), "------")</f>
        <v>------</v>
      </c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12" t="s">
        <v>82</v>
      </c>
      <c r="AW26" s="6"/>
      <c r="AX26" s="6"/>
      <c r="AY26" s="6"/>
      <c r="AZ26" s="6"/>
      <c r="BA26" s="6"/>
      <c r="BB26" s="6"/>
      <c r="BC26" s="6"/>
      <c r="BD26" s="6"/>
      <c r="BE26" s="47" t="str" cm="1">
        <f t="array" ref="BE26">IFERROR(PROCINDICE(PARENTES[#All], keyParentes, "GrauParentescoParente", 2), "------")</f>
        <v>------</v>
      </c>
      <c r="BF26" s="47"/>
      <c r="BG26" s="47"/>
      <c r="BH26" s="47"/>
      <c r="BI26" s="47"/>
      <c r="BJ26" s="47"/>
      <c r="BK26" s="47"/>
      <c r="BL26" s="47"/>
      <c r="BM26" s="47"/>
      <c r="BN26" s="47"/>
      <c r="BO26" s="47"/>
      <c r="BP26" s="47"/>
      <c r="BQ26" s="47"/>
      <c r="BR26" s="47"/>
      <c r="BS26" s="47"/>
      <c r="BT26" s="47"/>
      <c r="BU26" s="47"/>
      <c r="BV26" s="47"/>
      <c r="BW26" s="47"/>
      <c r="BX26" s="47"/>
      <c r="BY26" s="47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65</v>
      </c>
      <c r="B28" s="6"/>
      <c r="C28" s="6"/>
      <c r="D28" s="6"/>
      <c r="E28" s="6"/>
      <c r="F28" s="47" t="str" cm="1">
        <f t="array" ref="F28">IFERROR(PROCINDICE(PARENTES[#All], keyParentes, "NomeParente", 3), "------")</f>
        <v>------</v>
      </c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12" t="s">
        <v>66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46" t="str" cm="1">
        <f t="array" ref="BK28">IFERROR(PROCINDICE(PARENTES[#All], keyParentes, "DataNascimentoParente", 3), "------")</f>
        <v>------</v>
      </c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</row>
    <row r="29" spans="1:77" x14ac:dyDescent="0.25">
      <c r="A29" s="12" t="s">
        <v>68</v>
      </c>
      <c r="B29" s="5"/>
      <c r="C29" s="6"/>
      <c r="D29" s="6"/>
      <c r="E29" s="6"/>
      <c r="F29" s="5"/>
      <c r="G29" s="6"/>
      <c r="H29" s="6"/>
      <c r="I29" s="6"/>
      <c r="J29" s="6"/>
      <c r="K29" s="45" t="str" cm="1">
        <f t="array" ref="K29">IFERROR(PROCINDICE(PARENTES[#All], keyParentes, "EscolaridadeParente", 3), "------")</f>
        <v>------</v>
      </c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12" t="s">
        <v>82</v>
      </c>
      <c r="AW29" s="6"/>
      <c r="AX29" s="6"/>
      <c r="AY29" s="6"/>
      <c r="AZ29" s="6"/>
      <c r="BA29" s="6"/>
      <c r="BB29" s="6"/>
      <c r="BC29" s="6"/>
      <c r="BD29" s="6"/>
      <c r="BE29" s="47" t="str" cm="1">
        <f t="array" ref="BE29">IFERROR(PROCINDICE(PARENTES[#All], keyParentes, "GrauParentescoParente", 3), "------")</f>
        <v>------</v>
      </c>
      <c r="BF29" s="47"/>
      <c r="BG29" s="47"/>
      <c r="BH29" s="47"/>
      <c r="BI29" s="47"/>
      <c r="BJ29" s="47"/>
      <c r="BK29" s="47"/>
      <c r="BL29" s="47"/>
      <c r="BM29" s="47"/>
      <c r="BN29" s="47"/>
      <c r="BO29" s="47"/>
      <c r="BP29" s="47"/>
      <c r="BQ29" s="47"/>
      <c r="BR29" s="47"/>
      <c r="BS29" s="47"/>
      <c r="BT29" s="47"/>
      <c r="BU29" s="47"/>
      <c r="BV29" s="47"/>
      <c r="BW29" s="47"/>
      <c r="BX29" s="47"/>
      <c r="BY29" s="47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65</v>
      </c>
      <c r="B31" s="6"/>
      <c r="C31" s="6"/>
      <c r="D31" s="6"/>
      <c r="E31" s="6"/>
      <c r="F31" s="47" t="str" cm="1">
        <f t="array" ref="F31">IFERROR(PROCINDICE(PARENTES[#All], keyParentes, "NomeParente", 4), "------")</f>
        <v>------</v>
      </c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12" t="s">
        <v>66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46" t="str" cm="1">
        <f t="array" ref="BK31">IFERROR(PROCINDICE(PARENTES[#All], keyParentes, "DataNascimentoParente", 4), "------")</f>
        <v>------</v>
      </c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</row>
    <row r="32" spans="1:77" x14ac:dyDescent="0.25">
      <c r="A32" s="12" t="s">
        <v>68</v>
      </c>
      <c r="B32" s="5"/>
      <c r="C32" s="6"/>
      <c r="D32" s="6"/>
      <c r="E32" s="6"/>
      <c r="F32" s="5"/>
      <c r="G32" s="6"/>
      <c r="H32" s="6"/>
      <c r="I32" s="6"/>
      <c r="J32" s="6"/>
      <c r="K32" s="45" t="str" cm="1">
        <f t="array" ref="K32">IFERROR(PROCINDICE(PARENTES[#All], keyParentes, "EscolaridadeParente", 4), "------")</f>
        <v>------</v>
      </c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5"/>
      <c r="AU32" s="45"/>
      <c r="AV32" s="12" t="s">
        <v>82</v>
      </c>
      <c r="AW32" s="6"/>
      <c r="AX32" s="6"/>
      <c r="AY32" s="6"/>
      <c r="AZ32" s="6"/>
      <c r="BA32" s="6"/>
      <c r="BB32" s="6"/>
      <c r="BC32" s="6"/>
      <c r="BD32" s="6"/>
      <c r="BE32" s="47" t="str" cm="1">
        <f t="array" ref="BE32">IFERROR(PROCINDICE(PARENTES[#All], keyParentes, "GrauParentescoParente", 4), "------")</f>
        <v>------</v>
      </c>
      <c r="BF32" s="47"/>
      <c r="BG32" s="47"/>
      <c r="BH32" s="47"/>
      <c r="BI32" s="47"/>
      <c r="BJ32" s="47"/>
      <c r="BK32" s="47"/>
      <c r="BL32" s="47"/>
      <c r="BM32" s="47"/>
      <c r="BN32" s="47"/>
      <c r="BO32" s="47"/>
      <c r="BP32" s="47"/>
      <c r="BQ32" s="47"/>
      <c r="BR32" s="47"/>
      <c r="BS32" s="47"/>
      <c r="BT32" s="47"/>
      <c r="BU32" s="47"/>
      <c r="BV32" s="47"/>
      <c r="BW32" s="47"/>
      <c r="BX32" s="47"/>
      <c r="BY32" s="47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65</v>
      </c>
      <c r="B34" s="6"/>
      <c r="C34" s="6"/>
      <c r="D34" s="6"/>
      <c r="E34" s="6"/>
      <c r="F34" s="47" t="str" cm="1">
        <f t="array" ref="F34">IFERROR(PROCINDICE(PARENTES[#All], keyParentes, "NomeParente", 5), "------")</f>
        <v>------</v>
      </c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12" t="s">
        <v>66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46" t="str" cm="1">
        <f t="array" ref="BK34">IFERROR(PROCINDICE(PARENTES[#All], keyParentes, "DataNascimentoParente", 5), "------")</f>
        <v>------</v>
      </c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</row>
    <row r="35" spans="1:77" x14ac:dyDescent="0.25">
      <c r="A35" s="12" t="s">
        <v>68</v>
      </c>
      <c r="B35" s="5"/>
      <c r="C35" s="6"/>
      <c r="D35" s="6"/>
      <c r="E35" s="6"/>
      <c r="F35" s="5"/>
      <c r="G35" s="6"/>
      <c r="H35" s="6"/>
      <c r="I35" s="6"/>
      <c r="J35" s="6"/>
      <c r="K35" s="45" t="str" cm="1">
        <f t="array" ref="K35">IFERROR(PROCINDICE(PARENTES[#All], keyParentes, "EscolaridadeParente", 5), "------")</f>
        <v>------</v>
      </c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12" t="s">
        <v>82</v>
      </c>
      <c r="AW35" s="6"/>
      <c r="AX35" s="6"/>
      <c r="AY35" s="6"/>
      <c r="AZ35" s="6"/>
      <c r="BA35" s="6"/>
      <c r="BB35" s="6"/>
      <c r="BC35" s="6"/>
      <c r="BD35" s="6"/>
      <c r="BE35" s="47" t="str" cm="1">
        <f t="array" ref="BE35">IFERROR(PROCINDICE(PARENTES[#All], keyParentes, "GrauParentescoParente", 5), "------")</f>
        <v>------</v>
      </c>
      <c r="BF35" s="47"/>
      <c r="BG35" s="47"/>
      <c r="BH35" s="47"/>
      <c r="BI35" s="47"/>
      <c r="BJ35" s="47"/>
      <c r="BK35" s="47"/>
      <c r="BL35" s="47"/>
      <c r="BM35" s="47"/>
      <c r="BN35" s="47"/>
      <c r="BO35" s="47"/>
      <c r="BP35" s="47"/>
      <c r="BQ35" s="47"/>
      <c r="BR35" s="47"/>
      <c r="BS35" s="47"/>
      <c r="BT35" s="47"/>
      <c r="BU35" s="47"/>
      <c r="BV35" s="47"/>
      <c r="BW35" s="47"/>
      <c r="BX35" s="47"/>
      <c r="BY35" s="47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65</v>
      </c>
      <c r="B37" s="6"/>
      <c r="C37" s="6"/>
      <c r="D37" s="6"/>
      <c r="E37" s="6"/>
      <c r="F37" s="47" t="str" cm="1">
        <f t="array" ref="F37">IFERROR(PROCINDICE(PARENTES[#All], keyParentes, "NomeParente", 6), "------")</f>
        <v>------</v>
      </c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12" t="s">
        <v>66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46" t="str" cm="1">
        <f t="array" ref="BK37">IFERROR(PROCINDICE(PARENTES[#All], keyParentes, "DataNascimentoParente", 6), "------")</f>
        <v>------</v>
      </c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46"/>
      <c r="BX37" s="46"/>
      <c r="BY37" s="46"/>
    </row>
    <row r="38" spans="1:77" x14ac:dyDescent="0.25">
      <c r="A38" s="12" t="s">
        <v>68</v>
      </c>
      <c r="B38" s="5"/>
      <c r="C38" s="6"/>
      <c r="D38" s="6"/>
      <c r="E38" s="6"/>
      <c r="F38" s="5"/>
      <c r="G38" s="6"/>
      <c r="H38" s="6"/>
      <c r="I38" s="6"/>
      <c r="J38" s="6"/>
      <c r="K38" s="45" t="str" cm="1">
        <f t="array" ref="K38">IFERROR(PROCINDICE(PARENTES[#All], keyParentes, "EscolaridadeParente", 6), "------")</f>
        <v>------</v>
      </c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12" t="s">
        <v>82</v>
      </c>
      <c r="AW38" s="6"/>
      <c r="AX38" s="6"/>
      <c r="AY38" s="6"/>
      <c r="AZ38" s="6"/>
      <c r="BA38" s="6"/>
      <c r="BB38" s="6"/>
      <c r="BC38" s="6"/>
      <c r="BD38" s="6"/>
      <c r="BE38" s="47" t="str" cm="1">
        <f t="array" ref="BE38">IFERROR(PROCINDICE(PARENTES[#All], keyParentes, "GrauParentescoParente", 6), "------")</f>
        <v>------</v>
      </c>
      <c r="BF38" s="47"/>
      <c r="BG38" s="47"/>
      <c r="BH38" s="47"/>
      <c r="BI38" s="47"/>
      <c r="BJ38" s="47"/>
      <c r="BK38" s="47"/>
      <c r="BL38" s="47"/>
      <c r="BM38" s="47"/>
      <c r="BN38" s="47"/>
      <c r="BO38" s="47"/>
      <c r="BP38" s="47"/>
      <c r="BQ38" s="47"/>
      <c r="BR38" s="47"/>
      <c r="BS38" s="47"/>
      <c r="BT38" s="47"/>
      <c r="BU38" s="47"/>
      <c r="BV38" s="47"/>
      <c r="BW38" s="47"/>
      <c r="BX38" s="47"/>
      <c r="BY38" s="47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65</v>
      </c>
      <c r="B40" s="6"/>
      <c r="C40" s="6"/>
      <c r="D40" s="6"/>
      <c r="E40" s="6"/>
      <c r="F40" s="47" t="str" cm="1">
        <f t="array" ref="F40">IFERROR(PROCINDICE(PARENTES[#All], keyParentes, "NomeParente", 7), "------")</f>
        <v>------</v>
      </c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12" t="s">
        <v>66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46" t="str" cm="1">
        <f t="array" ref="BK40">IFERROR(PROCINDICE(PARENTES[#All], keyParentes, "DataNascimentoParente", 7), "------")</f>
        <v>------</v>
      </c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46"/>
      <c r="BX40" s="46"/>
      <c r="BY40" s="46"/>
    </row>
    <row r="41" spans="1:77" x14ac:dyDescent="0.25">
      <c r="A41" s="12" t="s">
        <v>68</v>
      </c>
      <c r="B41" s="5"/>
      <c r="C41" s="6"/>
      <c r="D41" s="6"/>
      <c r="E41" s="6"/>
      <c r="F41" s="5"/>
      <c r="G41" s="6"/>
      <c r="H41" s="6"/>
      <c r="I41" s="6"/>
      <c r="J41" s="6"/>
      <c r="K41" s="45" t="str" cm="1">
        <f t="array" ref="K41">IFERROR(PROCINDICE(PARENTES[#All], keyParentes, "EscolaridadeParente", 7), "------")</f>
        <v>------</v>
      </c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12" t="s">
        <v>82</v>
      </c>
      <c r="AW41" s="6"/>
      <c r="AX41" s="6"/>
      <c r="AY41" s="6"/>
      <c r="AZ41" s="6"/>
      <c r="BA41" s="6"/>
      <c r="BB41" s="6"/>
      <c r="BC41" s="6"/>
      <c r="BD41" s="6"/>
      <c r="BE41" s="47" t="str" cm="1">
        <f t="array" ref="BE41">IFERROR(PROCINDICE(PARENTES[#All], keyParentes, "GrauParentescoParente", 7), "------")</f>
        <v>------</v>
      </c>
      <c r="BF41" s="47"/>
      <c r="BG41" s="47"/>
      <c r="BH41" s="47"/>
      <c r="BI41" s="47"/>
      <c r="BJ41" s="47"/>
      <c r="BK41" s="47"/>
      <c r="BL41" s="47"/>
      <c r="BM41" s="47"/>
      <c r="BN41" s="47"/>
      <c r="BO41" s="47"/>
      <c r="BP41" s="47"/>
      <c r="BQ41" s="47"/>
      <c r="BR41" s="47"/>
      <c r="BS41" s="47"/>
      <c r="BT41" s="47"/>
      <c r="BU41" s="47"/>
      <c r="BV41" s="47"/>
      <c r="BW41" s="47"/>
      <c r="BX41" s="47"/>
      <c r="BY41" s="47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12"/>
      <c r="AW42" s="6"/>
      <c r="AX42" s="6"/>
      <c r="AY42" s="6"/>
      <c r="AZ42" s="6"/>
      <c r="BA42" s="6"/>
      <c r="BB42" s="6"/>
      <c r="BC42" s="6"/>
      <c r="BD42" s="6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</row>
    <row r="43" spans="1:77" x14ac:dyDescent="0.25">
      <c r="A43" s="12" t="s">
        <v>238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------</v>
      </c>
      <c r="J43" s="4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24"/>
      <c r="AW43" s="4"/>
      <c r="AX43" s="4"/>
      <c r="AY43" s="4"/>
      <c r="AZ43" s="4"/>
      <c r="BA43" s="4"/>
      <c r="BB43" s="4"/>
      <c r="BC43" s="4"/>
      <c r="BD43" s="4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</row>
    <row r="44" spans="1:77" s="10" customFormat="1" ht="18.75" customHeight="1" x14ac:dyDescent="0.25"/>
    <row r="45" spans="1:77" ht="15" customHeight="1" x14ac:dyDescent="0.25">
      <c r="A45" s="54" t="s">
        <v>83</v>
      </c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  <c r="BM45" s="54"/>
      <c r="BN45" s="54"/>
      <c r="BO45" s="54"/>
      <c r="BP45" s="54"/>
      <c r="BQ45" s="54"/>
      <c r="BR45" s="54"/>
      <c r="BS45" s="54"/>
      <c r="BT45" s="54"/>
      <c r="BU45" s="54"/>
      <c r="BV45" s="54"/>
      <c r="BW45" s="54"/>
      <c r="BX45" s="54"/>
      <c r="BY45" s="54"/>
    </row>
    <row r="46" spans="1:77" x14ac:dyDescent="0.25">
      <c r="A46" t="s">
        <v>84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85</v>
      </c>
      <c r="BF46" t="s">
        <v>88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89</v>
      </c>
    </row>
    <row r="48" spans="1:77" x14ac:dyDescent="0.25">
      <c r="A48" t="s">
        <v>90</v>
      </c>
    </row>
    <row r="49" spans="1:77" x14ac:dyDescent="0.25">
      <c r="A49" t="s">
        <v>86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53" t="s">
        <v>87</v>
      </c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</row>
    <row r="53" spans="1:77" ht="9.75" customHeight="1" x14ac:dyDescent="0.25"/>
    <row r="54" spans="1:77" x14ac:dyDescent="0.25">
      <c r="A54" t="s">
        <v>91</v>
      </c>
      <c r="J54" s="52" t="str">
        <f>IFERROR(VLOOKUP(NomeAssistido, CADASTROS[], MATCH("DataSindicancia", CADASTROS[#Headers], 0), 0), "------")</f>
        <v>------</v>
      </c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F54" t="s">
        <v>92</v>
      </c>
      <c r="AM54" s="43" t="str">
        <f>IFERROR(VLOOKUP(NomeAssistido, CADASTROS[], MATCH("NomeVisitador", CADASTROS[#Headers], 0), 0), "------")</f>
        <v>------</v>
      </c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activeCell="A3" sqref="A3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activeCell="A4" sqref="A4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A5" sqref="A5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9</vt:i4>
      </vt:variant>
    </vt:vector>
  </HeadingPairs>
  <TitlesOfParts>
    <vt:vector size="24" baseType="lpstr">
      <vt:lpstr>MENU</vt:lpstr>
      <vt:lpstr>CADASTRO</vt:lpstr>
      <vt:lpstr>ASSISTIDO</vt:lpstr>
      <vt:lpstr>ACOMPANHAMENTO</vt:lpstr>
      <vt:lpstr>TABELAS_AUXILIARES</vt:lpstr>
      <vt:lpstr>CONJUGE</vt:lpstr>
      <vt:lpstr>DEPENDENTE</vt:lpstr>
      <vt:lpstr>DADOS_DE_TESTE</vt:lpstr>
      <vt:lpstr>GRAUS_PARENTESCO</vt:lpstr>
      <vt:lpstr>FICHA_CADASTRAL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2026-06-26T18:19:33Z</dcterms:modified>
</cp:coreProperties>
</file>